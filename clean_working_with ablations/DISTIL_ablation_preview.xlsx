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yog\Downloads\"/>
    </mc:Choice>
  </mc:AlternateContent>
  <xr:revisionPtr revIDLastSave="0" documentId="13_ncr:1_{23D76FD7-F5C9-428D-BF5A-24F7B025657B}" xr6:coauthVersionLast="47" xr6:coauthVersionMax="47" xr10:uidLastSave="{00000000-0000-0000-0000-000000000000}"/>
  <bookViews>
    <workbookView xWindow="-110" yWindow="-110" windowWidth="19420" windowHeight="11020" tabRatio="500" firstSheet="21" activeTab="23" xr2:uid="{00000000-000D-0000-FFFF-FFFF00000000}"/>
  </bookViews>
  <sheets>
    <sheet name="README" sheetId="1" r:id="rId1"/>
    <sheet name="GT_SR" sheetId="2" r:id="rId2"/>
    <sheet name="GT_InfoGain" sheetId="3" r:id="rId3"/>
    <sheet name="A1_Memory_Off" sheetId="4" r:id="rId4"/>
    <sheet name="A3_Clustering_Off" sheetId="5" r:id="rId5"/>
    <sheet name="A4_LLM_vs_Heuristic" sheetId="6" r:id="rId6"/>
    <sheet name="A5_VLM_Off" sheetId="7" r:id="rId7"/>
    <sheet name="A6_KAG_Off" sheetId="8" r:id="rId8"/>
    <sheet name="A8_Fallback_Only" sheetId="9" r:id="rId9"/>
    <sheet name="A7_Bridging_Off" sheetId="10" r:id="rId10"/>
    <sheet name="A2_RandomAlloc_Robots" sheetId="11" r:id="rId11"/>
    <sheet name="A9_ContextSet_S" sheetId="12" r:id="rId12"/>
    <sheet name="A10_Descriptor_Feats" sheetId="13" r:id="rId13"/>
    <sheet name="A11_Budget_Sweep" sheetId="14" r:id="rId14"/>
    <sheet name="A12_Demos_PerRound" sheetId="15" r:id="rId15"/>
    <sheet name="A13_Memory_Constants" sheetId="16" r:id="rId16"/>
    <sheet name="A14_k_Selection" sheetId="17" r:id="rId17"/>
    <sheet name="D1_Cluster_Purity" sheetId="18" r:id="rId18"/>
    <sheet name="D2_kStar_Dist" sheetId="19" r:id="rId19"/>
    <sheet name="D3_Bridge_Split" sheetId="20" r:id="rId20"/>
    <sheet name="D4_FailureCount" sheetId="21" r:id="rId21"/>
    <sheet name="D5_Compute" sheetId="22" r:id="rId22"/>
    <sheet name="S1_SignTest" sheetId="23" r:id="rId23"/>
    <sheet name="Q3_PerCheckpoint" sheetId="24" r:id="rId2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" i="23" l="1"/>
  <c r="E22" i="23" s="1"/>
  <c r="F18" i="23"/>
  <c r="E18" i="23"/>
  <c r="F17" i="23"/>
  <c r="E17" i="23"/>
  <c r="F16" i="23"/>
  <c r="E16" i="23"/>
  <c r="F15" i="23"/>
  <c r="E15" i="23"/>
  <c r="F14" i="23"/>
  <c r="E14" i="23"/>
  <c r="F13" i="23"/>
  <c r="E13" i="23"/>
  <c r="F12" i="23"/>
  <c r="E12" i="23"/>
  <c r="F11" i="23"/>
  <c r="E11" i="23"/>
  <c r="F10" i="23"/>
  <c r="E10" i="23"/>
  <c r="E20" i="23" s="1"/>
  <c r="F9" i="23"/>
  <c r="E9" i="23"/>
  <c r="G13" i="22"/>
  <c r="G12" i="22"/>
  <c r="G11" i="22"/>
  <c r="G10" i="22"/>
  <c r="G9" i="22"/>
  <c r="G16" i="11"/>
  <c r="G15" i="11"/>
  <c r="G14" i="11"/>
  <c r="G13" i="11"/>
  <c r="G12" i="11"/>
  <c r="G11" i="11"/>
  <c r="G10" i="11"/>
  <c r="G9" i="11"/>
  <c r="G14" i="10"/>
  <c r="F14" i="10"/>
  <c r="G13" i="10"/>
  <c r="F13" i="10"/>
  <c r="G12" i="10"/>
  <c r="F12" i="10"/>
  <c r="G11" i="10"/>
  <c r="F11" i="10"/>
  <c r="G10" i="10"/>
  <c r="F10" i="10"/>
  <c r="G9" i="10"/>
  <c r="F9" i="10"/>
  <c r="G18" i="9"/>
  <c r="F18" i="9"/>
  <c r="G17" i="9"/>
  <c r="F17" i="9"/>
  <c r="G16" i="9"/>
  <c r="F16" i="9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E21" i="23" l="1"/>
</calcChain>
</file>

<file path=xl/sharedStrings.xml><?xml version="1.0" encoding="utf-8"?>
<sst xmlns="http://schemas.openxmlformats.org/spreadsheetml/2006/main" count="1061" uniqueCount="526">
  <si>
    <t>DISTIL — Ablation Study Preview (synthetic value ranges)</t>
  </si>
  <si>
    <t>One sheet per planned ablation. Numbers are illustrative placeholders to preview the shape of results before the ~2-day runs finish.</t>
  </si>
  <si>
    <t>⚠  ALL VALUES ARE SYNTHETIC / ILLUSTRATIVE. Generated to preview expected ranges — not experimental results, not to be reported or cited. Replace every table with real logged output.</t>
  </si>
  <si>
    <t>Index of sheets</t>
  </si>
  <si>
    <t>Sheet</t>
  </si>
  <si>
    <t>What it tests</t>
  </si>
  <si>
    <t>Tier</t>
  </si>
  <si>
    <t>Expected headline (synthetic)</t>
  </si>
  <si>
    <t>GT_SR</t>
  </si>
  <si>
    <t>Paper Table 1 (final success rate) — reference anchor</t>
  </si>
  <si>
    <t>ref</t>
  </si>
  <si>
    <t>Unchanged (transcribed)</t>
  </si>
  <si>
    <t>GT_InfoGain</t>
  </si>
  <si>
    <t>Paper Table 2 (per-demo information gain) — anchor</t>
  </si>
  <si>
    <t>A1_Memory_Off</t>
  </si>
  <si>
    <t>Set lambda=0 / remove cluster memory (Eq 9)</t>
  </si>
  <si>
    <t>SUBMIT</t>
  </si>
  <si>
    <t>Big drop on Push-T/Wipe/GW; ~flat on Lift (kernel already flat)</t>
  </si>
  <si>
    <t>A2_RandomAlloc_Robots</t>
  </si>
  <si>
    <t>Stagger (uniform-random failure) on the 8 robot cells</t>
  </si>
  <si>
    <t>Lands among baselines, below Diff-DAgger, well below DISTIL</t>
  </si>
  <si>
    <t>A3_Clustering_Off</t>
  </si>
  <si>
    <t>Greedy worst-loss / no mode structure</t>
  </si>
  <si>
    <t>High info gain retained but SR drops — 'gain != success'</t>
  </si>
  <si>
    <t>A4_LLM_vs_Heuristic</t>
  </si>
  <si>
    <t>Replace LLM prescription with fixed heuristic</t>
  </si>
  <si>
    <t>SMALL gap — LLM's marginal value may be modest (watch out)</t>
  </si>
  <si>
    <t>A5_VLM_Off</t>
  </si>
  <si>
    <t>Drop visual frames; geometry+labels only</t>
  </si>
  <si>
    <t>SMALL gap — VLM mainly informs root-cause quality</t>
  </si>
  <si>
    <t>A6_KAG_Off</t>
  </si>
  <si>
    <t>Remove per-task knowledge graph from prompt</t>
  </si>
  <si>
    <t>REBUT</t>
  </si>
  <si>
    <t>Modest SR drop + higher fallback / infeasible rate</t>
  </si>
  <si>
    <t>A7_Bridging_Off</t>
  </si>
  <si>
    <t>Targeted-only on Push-T/Lift/Door</t>
  </si>
  <si>
    <t>Small (bridging is 15-30% of rounds); n/a on Wipe &amp; GW</t>
  </si>
  <si>
    <t>A8_Fallback_Only</t>
  </si>
  <si>
    <t>Nearest-untried failure every round, no LLM</t>
  </si>
  <si>
    <t>Between random-alloc and Diff-DAgger</t>
  </si>
  <si>
    <t>A9_ContextSet_S</t>
  </si>
  <si>
    <t>Ablate FPS fill / worst-loss seed / forced rep</t>
  </si>
  <si>
    <t>FPS beats random fill by a small margin</t>
  </si>
  <si>
    <t>A10_Descriptor_Feats</t>
  </si>
  <si>
    <t>Drop delta / orientation / progress from Eq 7</t>
  </si>
  <si>
    <t>Contact hurts on Wipe/Lift/Door; orientation on Push-T</t>
  </si>
  <si>
    <t>A11_Budget_Sweep</t>
  </si>
  <si>
    <t>B in {10,20,40} on one task per family</t>
  </si>
  <si>
    <t>Advantage largest at B=10, shrinks toward B=40</t>
  </si>
  <si>
    <t>A12_Demos_PerRound</t>
  </si>
  <si>
    <t>D in {1,2,3} demonstrations per round</t>
  </si>
  <si>
    <t>D=1 best final SR at fixed budget; D=2/3 slightly lower</t>
  </si>
  <si>
    <t>A13_Memory_Constants</t>
  </si>
  <si>
    <t>Sensitivity of gamma / sigma / lambda</t>
  </si>
  <si>
    <t>Plateau of good values around chosen constants</t>
  </si>
  <si>
    <t>A14_k_Selection</t>
  </si>
  <si>
    <t>Silhouette vs fixed k=2..5</t>
  </si>
  <si>
    <t>Silhouette ~= best fixed k; k=3 often near-optimal</t>
  </si>
  <si>
    <t>D1_Cluster_Purity</t>
  </si>
  <si>
    <t>Root-cause label purity per geometric cluster</t>
  </si>
  <si>
    <t>DIAG</t>
  </si>
  <si>
    <t>0.72-0.93; lower on hard/image cells</t>
  </si>
  <si>
    <t>D2_kStar_Dist</t>
  </si>
  <si>
    <t>Distribution of chosen k across rounds</t>
  </si>
  <si>
    <t>Mode at 3, spread 2-4</t>
  </si>
  <si>
    <t>D3_Bridge_Split</t>
  </si>
  <si>
    <t>Bridge vs targeted usage per task</t>
  </si>
  <si>
    <t>15-30% bridge; 0% on Wipe &amp; GridWorld</t>
  </si>
  <si>
    <t>D4_FailureCount</t>
  </si>
  <si>
    <t>Failures per round over the budget</t>
  </si>
  <si>
    <t>Decreases; N&lt;=3 common in late rounds</t>
  </si>
  <si>
    <t>D5_Compute</t>
  </si>
  <si>
    <t>Wall-clock and tokens per round vs baselines</t>
  </si>
  <si>
    <t>DISTIL adds seconds + ~10-16k tokens/round</t>
  </si>
  <si>
    <t>S1_SignTest</t>
  </si>
  <si>
    <t>Sign test / Wilcoxon over the 10 paired means</t>
  </si>
  <si>
    <t>10/10 sweep, one-sided p ~= 0.001</t>
  </si>
  <si>
    <t>Q3_PerCheckpoint</t>
  </si>
  <si>
    <t>Honest per-checkpoint correlations (small n)</t>
  </si>
  <si>
    <t>r drops ~0.04-0.08, CIs widen (n~25)</t>
  </si>
  <si>
    <t>Ground truth — Final held-out success rate (%) at B=20</t>
  </si>
  <si>
    <t>Transcribed from paper Table 1. Reference anchor for all ablation sheets. mean ± 1 std.</t>
  </si>
  <si>
    <t>Task</t>
  </si>
  <si>
    <t>Obs</t>
  </si>
  <si>
    <t>Safe</t>
  </si>
  <si>
    <t>Dropout</t>
  </si>
  <si>
    <t>Ensemble</t>
  </si>
  <si>
    <t>Thrifty</t>
  </si>
  <si>
    <t>Stagger</t>
  </si>
  <si>
    <t>Diff-DAgger</t>
  </si>
  <si>
    <t>DISTIL</t>
  </si>
  <si>
    <t>Best baseline</t>
  </si>
  <si>
    <t>GridWorld 5x5</t>
  </si>
  <si>
    <t>state</t>
  </si>
  <si>
    <t>85.3 ± 2.7</t>
  </si>
  <si>
    <t>84.9 ± 2.5</t>
  </si>
  <si>
    <t>86.2 ± 2.1</t>
  </si>
  <si>
    <t>86.8 ± 2.0</t>
  </si>
  <si>
    <t>85.7 ± 1.5</t>
  </si>
  <si>
    <t>–</t>
  </si>
  <si>
    <t>89.9 ± 1.3</t>
  </si>
  <si>
    <t>image</t>
  </si>
  <si>
    <t>86.1 ± 2.8</t>
  </si>
  <si>
    <t>85.8 ± 2.6</t>
  </si>
  <si>
    <t>85.7 ± 2.2</t>
  </si>
  <si>
    <t>87.1 ± 1.9</t>
  </si>
  <si>
    <t>86.6 ± 2.3</t>
  </si>
  <si>
    <t>89.6 ± 1.8</t>
  </si>
  <si>
    <t>Push-T</t>
  </si>
  <si>
    <t>82.0 ± 6.8</t>
  </si>
  <si>
    <t>84.8 ± 6.1</t>
  </si>
  <si>
    <t>85.9 ± 5.8</t>
  </si>
  <si>
    <t>83.2 ± 7.2</t>
  </si>
  <si>
    <t>90.7 ± 4.5</t>
  </si>
  <si>
    <t>96.1 ± 4.5</t>
  </si>
  <si>
    <t>78.1 ± 7.8</t>
  </si>
  <si>
    <t>82.1 ± 6.9</t>
  </si>
  <si>
    <t>83.2 ± 6.6</t>
  </si>
  <si>
    <t>79.3 ± 8.1</t>
  </si>
  <si>
    <t>89.0 ± 4.8</t>
  </si>
  <si>
    <t>93.9 ± 4.9</t>
  </si>
  <si>
    <t>Lift</t>
  </si>
  <si>
    <t>99.2 ± 1.6</t>
  </si>
  <si>
    <t>99.2 ± 1.0</t>
  </si>
  <si>
    <t>98.8 ± 2.4</t>
  </si>
  <si>
    <t>100.0 ± 0.0</t>
  </si>
  <si>
    <t>99.6 ± 0.8</t>
  </si>
  <si>
    <t>97.2 ± 3.5</t>
  </si>
  <si>
    <t>98.8 ± 1.6</t>
  </si>
  <si>
    <t>Wipe</t>
  </si>
  <si>
    <t>88.0 ± 2.5</t>
  </si>
  <si>
    <t>89.6 ± 4.1</t>
  </si>
  <si>
    <t>90.8 ± 4.3</t>
  </si>
  <si>
    <t>90.0 ± 2.5</t>
  </si>
  <si>
    <t>90.4 ± 6.0</t>
  </si>
  <si>
    <t>95.5 ± 6.0</t>
  </si>
  <si>
    <t>69.6 ± 5.3</t>
  </si>
  <si>
    <t>83.2 ± 6.8</t>
  </si>
  <si>
    <t>84.4 ± 7.1</t>
  </si>
  <si>
    <t>69.2 ± 9.0</t>
  </si>
  <si>
    <t>89.6 ± 3.2</t>
  </si>
  <si>
    <t>95.3 ± 3.2</t>
  </si>
  <si>
    <t>Door</t>
  </si>
  <si>
    <t>93.2 ± 5.2</t>
  </si>
  <si>
    <t>92.8 ± 2.7</t>
  </si>
  <si>
    <t>88.8 ± 7.0</t>
  </si>
  <si>
    <t>89.6 ± 3.9</t>
  </si>
  <si>
    <t>95.2 ± 4.3</t>
  </si>
  <si>
    <t>98.4 ± 4.2</t>
  </si>
  <si>
    <t>92.4 ± 3.2</t>
  </si>
  <si>
    <t>88.8 ± 3.3</t>
  </si>
  <si>
    <t>86.0 ± 10.9</t>
  </si>
  <si>
    <t>89.2 ± 3.5</t>
  </si>
  <si>
    <t>99.2 ± 3.4</t>
  </si>
  <si>
    <t>Best baseline = max baseline mean per row (transcribed from Table 1, used for margin math on ablation sheets).</t>
  </si>
  <si>
    <t>Synthetic / illustrative data — generated to preview expected value ranges before the real runs complete. NOT experimental results. Do not report.</t>
  </si>
  <si>
    <t>Ground truth — Per-demonstration information gain</t>
  </si>
  <si>
    <t>Transcribed from paper Table 2. Pre-retrain policy loss on each newly acquired demonstration (mean).</t>
  </si>
  <si>
    <t>A1 — Cluster memory OFF (λ = 0)</t>
  </si>
  <si>
    <t>Removes Eq 9. Isolates the allocation/rotation mechanism.</t>
  </si>
  <si>
    <t>What is ablated</t>
  </si>
  <si>
    <t>The recency-discounted Gaussian memory (Eq 9) is disabled: no penalty on recently corrected regions, no rotation among near-dominant clusters.</t>
  </si>
  <si>
    <t>Hypothesis (what should happen)</t>
  </si>
  <si>
    <t>Budget gets absorbed by the dominant mode → margin over baselines should collapse most where several modes recur (Push-T, Wipe, GridWorld) and stay ~flat on Lift, where you already note the kernel is nearly flat.</t>
  </si>
  <si>
    <t>If the gap is ~0, it means</t>
  </si>
  <si>
    <t>The cluster memory — a headline equation and half of contribution (2) — is decorative. This is the single most important knockout to run first.</t>
  </si>
  <si>
    <t>Full DISTIL (ref)</t>
  </si>
  <si>
    <t>Best baseline (ref)</t>
  </si>
  <si>
    <t>DISTIL-ablated (mean ± std)</t>
  </si>
  <si>
    <t>Δ vs full DISTIL</t>
  </si>
  <si>
    <t>Margin retained %</t>
  </si>
  <si>
    <t>88.4 ± 1.6</t>
  </si>
  <si>
    <t>88.4 ± 1.8</t>
  </si>
  <si>
    <t>92.7 ± 4.8</t>
  </si>
  <si>
    <t>91.1 ± 5.5</t>
  </si>
  <si>
    <t>99.9 ± 0.8</t>
  </si>
  <si>
    <t>92.4 ± 6.0</t>
  </si>
  <si>
    <t>91.4 ± 3.6</t>
  </si>
  <si>
    <t>97.2 ± 4.4</t>
  </si>
  <si>
    <t>96.0 ± 3.7</t>
  </si>
  <si>
    <t>Helper column (far right) holds the numeric ablated mean that Δ and Margin-retained% reference; paste your real means there and the two derived columns recompute.</t>
  </si>
  <si>
    <t>A3 — Clustering OFF (greedy worst-loss)</t>
  </si>
  <si>
    <t>No mode structure; always correct the single highest-peak-loss failure.</t>
  </si>
  <si>
    <t>Failure-mode clustering (Eq 8) is removed; the round targets the raw highest-loss failure (or a random one). No modes, so memory has nothing to rotate over.</t>
  </si>
  <si>
    <t>Info gain should stay HIGH (still chasing high loss) while success rate DROPS — the direct demonstration of your Q2 point that gain without allocation is redundant.</t>
  </si>
  <si>
    <t>Grouping failures into modes does not matter; the win is just high-loss chasing. Pairs with A1 to triangulate the allocation thesis.</t>
  </si>
  <si>
    <t>Info gain (ablated)</t>
  </si>
  <si>
    <t>88.2 ± 1.4</t>
  </si>
  <si>
    <t>88.0 ± 2.0</t>
  </si>
  <si>
    <t>92.5 ± 4.7</t>
  </si>
  <si>
    <t>90.5 ± 5.9</t>
  </si>
  <si>
    <t>99.9 ± 0.4</t>
  </si>
  <si>
    <t>99.8 ± 0.8</t>
  </si>
  <si>
    <t>92.0 ± 7.1</t>
  </si>
  <si>
    <t>91.2 ± 3.8</t>
  </si>
  <si>
    <t>96.5 ± 4.9</t>
  </si>
  <si>
    <t>95.7 ± 3.9</t>
  </si>
  <si>
    <t>A4 — LLM prescription vs fixed heuristic</t>
  </si>
  <si>
    <t>Replace the reasoning-LLM decision with 'always target dominant cluster representative'.</t>
  </si>
  <si>
    <t>The LLM's prescription (targeted-vs-bridge, which failures to cite) is swapped for a deterministic heuristic on the SAME geometric clusters.</t>
  </si>
  <si>
    <t>Because clustering is already geometric (Eq 7 uses no LLM output), the heuristic should land CLOSE to full DISTIL — a small, consistent gap.</t>
  </si>
  <si>
    <t>The reasoning LLM (high-effort, 16k tokens, wall-clock cost you list as a limitation) is not earning its cost. Realistically this gap may be small — know it before a reviewer does.</t>
  </si>
  <si>
    <t>89.1 ± 1.5</t>
  </si>
  <si>
    <t>89.2 ± 1.8</t>
  </si>
  <si>
    <t>94.6 ± 5.2</t>
  </si>
  <si>
    <t>93.0 ± 6.0</t>
  </si>
  <si>
    <t>99.9 ± 0.5</t>
  </si>
  <si>
    <t>99.7 ± 0.8</t>
  </si>
  <si>
    <t>94.5 ± 6.7</t>
  </si>
  <si>
    <t>94.3 ± 3.6</t>
  </si>
  <si>
    <t>98.0 ± 4.9</t>
  </si>
  <si>
    <t>97.7 ± 4.2</t>
  </si>
  <si>
    <t>A5 — VLM OFF (no visual frames)</t>
  </si>
  <si>
    <t>Feed the reasoning LLM only the geometric descriptor + root-cause labels.</t>
  </si>
  <si>
    <t>The VLM frame description (start / t* / end) is removed from the pipeline; clustering is unaffected since it is geometric.</t>
  </si>
  <si>
    <t>VLM mainly informs root-cause quality, so expect a SMALL degradation — slightly less than the LLM-decision knockout.</t>
  </si>
  <si>
    <t>Visual perception adds nothing measurable; the 'V' in the pipeline is dead weight. A distinct knockout from A4.</t>
  </si>
  <si>
    <t>89.7 ± 1.4</t>
  </si>
  <si>
    <t>89.5 ± 2.2</t>
  </si>
  <si>
    <t>95.4 ± 4.6</t>
  </si>
  <si>
    <t>93.1 ± 5.1</t>
  </si>
  <si>
    <t>99.9 ± 0.6</t>
  </si>
  <si>
    <t>95.0 ± 6.7</t>
  </si>
  <si>
    <t>94.2 ± 3.2</t>
  </si>
  <si>
    <t>98.2 ± 4.7</t>
  </si>
  <si>
    <t>98.3 ± 3.4</t>
  </si>
  <si>
    <t>A6 — KAG grounding OFF</t>
  </si>
  <si>
    <t>Remove the per-task knowledge graph from the prompt.</t>
  </si>
  <si>
    <t>The rendered knowledge graph (embodiment, geometry, workspace bounds, failure taxonomy, per-mode rules) is dropped from both VLM and LLM prompts.</t>
  </si>
  <si>
    <t>Modest SR drop AND a rise in infeasible/fallback rate (no workspace bounds in prompt → more rejected prescriptions).</t>
  </si>
  <si>
    <t>KAG 'bounds the damage' claim is empty and the per-task KG authoring cost buys nothing.</t>
  </si>
  <si>
    <t>Fallback rate %</t>
  </si>
  <si>
    <t>88.8 ± 1.3</t>
  </si>
  <si>
    <t>89.1 ± 2.1</t>
  </si>
  <si>
    <t>94.4 ± 5.2</t>
  </si>
  <si>
    <t>92.0 ± 5.5</t>
  </si>
  <si>
    <t>93.8 ± 6.8</t>
  </si>
  <si>
    <t>93.5 ± 3.7</t>
  </si>
  <si>
    <t>97.8 ± 4.5</t>
  </si>
  <si>
    <t>97.3 ± 3.8</t>
  </si>
  <si>
    <t>A8 — Deterministic fallback only</t>
  </si>
  <si>
    <t>Nearest untried recorded failure every round; no clustering, memory, or LLM.</t>
  </si>
  <si>
    <t>The whole reasoning stack is bypassed; each round takes the nearest untried failure (the deterministic fallback used after 5 failed attempts).</t>
  </si>
  <si>
    <t>A structured-but-dumb control: should sit between uniform-random allocation (A2) and Diff-DAgger — better than chance, far below DISTIL.</t>
  </si>
  <si>
    <t>The deterministic scaffolding, not the LLM, is carrying the method. Pairs with the fallback-rate diagnostic.</t>
  </si>
  <si>
    <t>87.9 ± 1.5</t>
  </si>
  <si>
    <t>87.8 ± 2.1</t>
  </si>
  <si>
    <t>92.5 ± 5.4</t>
  </si>
  <si>
    <t>90.2 ± 5.0</t>
  </si>
  <si>
    <t>99.7 ± 0.4</t>
  </si>
  <si>
    <t>92.2 ± 6.8</t>
  </si>
  <si>
    <t>90.7 ± 3.8</t>
  </si>
  <si>
    <t>96.7 ± 5.2</t>
  </si>
  <si>
    <t>94.8 ± 4.1</t>
  </si>
  <si>
    <t>A7 — Bridging OFF (targeted-only)</t>
  </si>
  <si>
    <t>Disable Eq 10 on the tasks where bridging operates (Push-T, Lift, Door).</t>
  </si>
  <si>
    <t>Bridging placement is disabled; every prescription becomes a targeted in-place correction. (Wipe and GridWorld are already targeted-only, so they are unchanged.)</t>
  </si>
  <si>
    <t>Small effect, because bridging is chosen in only ~15-30% of rounds (see D3_Bridge_Split).</t>
  </si>
  <si>
    <t>Bridging — a full equation and half the prescription narrative — is dead weight. Note your biggest headline (image Wipe) already does not use bridging.</t>
  </si>
  <si>
    <t>95.0 ± 5.1</t>
  </si>
  <si>
    <t>92.7 ± 5.1</t>
  </si>
  <si>
    <t>99.6 ± 0.5</t>
  </si>
  <si>
    <t>99.8 ± 0.6</t>
  </si>
  <si>
    <t>97.8 ± 4.1</t>
  </si>
  <si>
    <t>A2 — Uniform-random allocation (Stagger) on the robot tasks</t>
  </si>
  <si>
    <t>Fills the control gap you admit twice: Stagger runs on GridWorld only. Extends it to the 8 robot cells.</t>
  </si>
  <si>
    <t>Each round corrects one uniformly-chosen recorded failure — no clustering, no memory, no LLM. The random-allocation control on Push-T / Lift / Wipe / Door.</t>
  </si>
  <si>
    <t>Random replay should beat the weakest query-gates but sit clearly below Diff-DAgger and far below DISTIL, isolating clustering+memory from mere failure replay.</t>
  </si>
  <si>
    <t>Structured allocation is unnecessary — a random recorded failure per round already matches DISTIL. This is the most damaging gap if left unfilled; run it first alongside A1.</t>
  </si>
  <si>
    <t>Best gate baseline</t>
  </si>
  <si>
    <t>Stagger (random alloc)</t>
  </si>
  <si>
    <t>DISTIL − Stagger</t>
  </si>
  <si>
    <t>85.3 ± 4.2</t>
  </si>
  <si>
    <t>82.8 ± 5.9</t>
  </si>
  <si>
    <t>98.9 ± 4.4</t>
  </si>
  <si>
    <t>98.2 ± 5.4</t>
  </si>
  <si>
    <t>88.9 ± 5.1</t>
  </si>
  <si>
    <t>83.2 ± 3.5</t>
  </si>
  <si>
    <t>91.2 ± 4.7</t>
  </si>
  <si>
    <t>89.0 ± 6.3</t>
  </si>
  <si>
    <t>A9 — Context set S ablation (κ = 3)</t>
  </si>
  <si>
    <t>Knock out each component of the diverse context set on two representative tasks.</t>
  </si>
  <si>
    <t>The context set S is built from: forced target representative + worst-peak-loss seed + farthest-point (FPS) fill. Each is removed in turn; 'random fill' replaces FPS.</t>
  </si>
  <si>
    <t>FPS fill should beat random fill by a small margin; dropping the forced representative should hurt most.</t>
  </si>
  <si>
    <t>The context-set construction is over-engineered and can be replaced by random sampling — cut the paragraph.</t>
  </si>
  <si>
    <t>Variant</t>
  </si>
  <si>
    <t>Push-T (image) SR %</t>
  </si>
  <si>
    <t>Wipe (image) SR %</t>
  </si>
  <si>
    <t>Full S (rep + worst-loss + FPS)</t>
  </si>
  <si>
    <t>94.1 ± 3.6</t>
  </si>
  <si>
    <t>95.1 ± 5.4</t>
  </si>
  <si>
    <t>− FPS (random fill instead)</t>
  </si>
  <si>
    <t>92.3 ± 4.9</t>
  </si>
  <si>
    <t>93.9 ± 3.9</t>
  </si>
  <si>
    <t>− worst-loss seed</t>
  </si>
  <si>
    <t>94.1 ± 4.3</t>
  </si>
  <si>
    <t>− forced representative</t>
  </si>
  <si>
    <t>91.3 ± 3.8</t>
  </si>
  <si>
    <t>92.6 ± 5.3</t>
  </si>
  <si>
    <t>Random 3 failures</t>
  </si>
  <si>
    <t>90.4 ± 4.4</t>
  </si>
  <si>
    <t>91.7 ± 4.5</t>
  </si>
  <si>
    <t>A10 — Descriptor feature ablation (Eq 7)</t>
  </si>
  <si>
    <t>Drop each geometric feature; show every component earns its slot.</t>
  </si>
  <si>
    <t>From φ = [p_x, p_y, sinθ, cosθ, ρ, δ], remove one feature at a time (orientation = sinθ,cosθ together): contact distance δ, orientation, task progress ρ.</t>
  </si>
  <si>
    <t>Contact distance should matter most on contact-rich tasks (Wipe, Lift, Door); orientation on Push-T; progress broadly but mildly.</t>
  </si>
  <si>
    <t>The hand-designed descriptor has redundant features and was likely tuned — trim or justify each.</t>
  </si>
  <si>
    <t>Push-T SR %</t>
  </si>
  <si>
    <t>Wipe SR %</t>
  </si>
  <si>
    <t>Lift SR %</t>
  </si>
  <si>
    <t>Door SR %</t>
  </si>
  <si>
    <t>Full φ (6-D)</t>
  </si>
  <si>
    <t>96.0 ± 5.9</t>
  </si>
  <si>
    <t>95.2 ± 5.9</t>
  </si>
  <si>
    <t>99.8 ± 4.1</t>
  </si>
  <si>
    <t>98.4 ± 4.1</t>
  </si>
  <si>
    <t>− contact distance δ</t>
  </si>
  <si>
    <t>94.7 ± 5.4</t>
  </si>
  <si>
    <t>91.8 ± 4.0</t>
  </si>
  <si>
    <t>99.3 ± 3.6</t>
  </si>
  <si>
    <t>96.0 ± 4.9</t>
  </si>
  <si>
    <t>− orientation (sinθ,cosθ)</t>
  </si>
  <si>
    <t>92.4 ± 4.8</t>
  </si>
  <si>
    <t>94.4 ± 5.1</t>
  </si>
  <si>
    <t>99.5 ± 4.3</t>
  </si>
  <si>
    <t>96.6 ± 5.5</t>
  </si>
  <si>
    <t>− task progress ρ</t>
  </si>
  <si>
    <t>94.5 ± 3.9</t>
  </si>
  <si>
    <t>93.7 ± 5.6</t>
  </si>
  <si>
    <t>99.2 ± 4.6</t>
  </si>
  <si>
    <t>97.4 ± 5.3</t>
  </si>
  <si>
    <t>A11 — Budget sweep  B ∈ {10, 20, 40}</t>
  </si>
  <si>
    <t>Backs the 'framework, not a 20-demo instance' reframing. One task per family.</t>
  </si>
  <si>
    <t>Vary the hard budget B across three points on GridWorld (image), Push-T (state), Wipe (image). All methods share each B.</t>
  </si>
  <si>
    <t>DISTIL's advantage should be LARGEST at B=10 (allocation matters most when demos are scarce) and shrink toward B=40 as everyone saturates.</t>
  </si>
  <si>
    <t>If DISTIL only wins at B=20, the budget-agnostic framework claim collapses.</t>
  </si>
  <si>
    <t>GridWorld 5x5 (image)</t>
  </si>
  <si>
    <t>Method</t>
  </si>
  <si>
    <t>B = 10</t>
  </si>
  <si>
    <t>B = 20</t>
  </si>
  <si>
    <t>B = 40</t>
  </si>
  <si>
    <t>Δ(DISTIL−best) @B10</t>
  </si>
  <si>
    <t>@B20</t>
  </si>
  <si>
    <t>@B40</t>
  </si>
  <si>
    <t>79.2 ± 3.2</t>
  </si>
  <si>
    <t>86.9 ± 4.1</t>
  </si>
  <si>
    <t>90.7 ± 4.6</t>
  </si>
  <si>
    <t>Control (Stagger)</t>
  </si>
  <si>
    <t>76.8 ± 4.4</t>
  </si>
  <si>
    <t>86.4 ± 4.3</t>
  </si>
  <si>
    <t>89.9 ± 5.3</t>
  </si>
  <si>
    <t>84.7 ± 5.5</t>
  </si>
  <si>
    <t>89.3 ± 3.0</t>
  </si>
  <si>
    <t>91.7 ± 5.0</t>
  </si>
  <si>
    <t>Push-T (state)</t>
  </si>
  <si>
    <t>74.7 ± 5.9</t>
  </si>
  <si>
    <t>90.5 ± 4.5</t>
  </si>
  <si>
    <t>93.8 ± 5.2</t>
  </si>
  <si>
    <t>Control (Diff-DAgger)</t>
  </si>
  <si>
    <t>78.5 ± 3.4</t>
  </si>
  <si>
    <t>90.9 ± 5.9</t>
  </si>
  <si>
    <t>93.5 ± 3.3</t>
  </si>
  <si>
    <t>88.0 ± 5.1</t>
  </si>
  <si>
    <t>96.3 ± 4.9</t>
  </si>
  <si>
    <t>97.7 ± 3.5</t>
  </si>
  <si>
    <t>Wipe (image)</t>
  </si>
  <si>
    <t>72.0 ± 5.3</t>
  </si>
  <si>
    <t>89.7 ± 3.4</t>
  </si>
  <si>
    <t>93.4 ± 3.6</t>
  </si>
  <si>
    <t>74.7 ± 3.2</t>
  </si>
  <si>
    <t>89.8 ± 5.9</t>
  </si>
  <si>
    <t>93.1 ± 3.3</t>
  </si>
  <si>
    <t>85.4 ± 4.0</t>
  </si>
  <si>
    <t>95.0 ± 6.0</t>
  </si>
  <si>
    <t>96.8 ± 5.5</t>
  </si>
  <si>
    <t>A12 — Demonstrations per round  D ∈ {1, 2, 3}</t>
  </si>
  <si>
    <t>Tests the D=1 commitment flagged in review and Limitations.</t>
  </si>
  <si>
    <t>Prescribe D demonstrations per round instead of one, holding the total budget B=20 fixed (so fewer rounds when D&gt;1).</t>
  </si>
  <si>
    <t>D=1 should give the best final SR at fixed budget (finest allocation); D=2/3 converge in fewer rounds but slightly lower final SR.</t>
  </si>
  <si>
    <t>The one-demo-per-round design is arbitrary and D is a free knob a reviewer will want swept.</t>
  </si>
  <si>
    <t>D (demos/round)</t>
  </si>
  <si>
    <t>Rounds</t>
  </si>
  <si>
    <t>Push-T (state) final SR %</t>
  </si>
  <si>
    <t>Door (image) final SR %</t>
  </si>
  <si>
    <t>96.3 ± 5.4</t>
  </si>
  <si>
    <t>99.2 ± 4.7</t>
  </si>
  <si>
    <t>94.8 ± 4.0</t>
  </si>
  <si>
    <t>98.5 ± 4.5</t>
  </si>
  <si>
    <t>93.5 ± 4.6</t>
  </si>
  <si>
    <t>97.2 ± 4.8</t>
  </si>
  <si>
    <t>A13 — Memory-constant sensitivity (γ, σ, λ)</t>
  </si>
  <si>
    <t>Pre-empts 'you tuned these'. Grid around the chosen 0.6 / 0.06 / 1 on Push-T (image).</t>
  </si>
  <si>
    <t>Sweep each constant one at a time around its paper value: γ (recency discount, 0.6), σ (kernel width, 0.06), λ (penalty weight, 1). Push-T image SR.</t>
  </si>
  <si>
    <t>A plateau of good values around the chosen constants; graceful degradation at extremes, not a sharp peak.</t>
  </si>
  <si>
    <t>The constants are fragile / cherry-picked and the method is sensitive to unlearned hyperparameters.</t>
  </si>
  <si>
    <t>γ (recency)</t>
  </si>
  <si>
    <t>value</t>
  </si>
  <si>
    <t>0.3</t>
  </si>
  <si>
    <t>0.5</t>
  </si>
  <si>
    <t>0.6</t>
  </si>
  <si>
    <t>0.7</t>
  </si>
  <si>
    <t>0.9</t>
  </si>
  <si>
    <t>92.3 ± 5.0</t>
  </si>
  <si>
    <t>93.7 ± 4.3</t>
  </si>
  <si>
    <t>94.2 ± 4.9</t>
  </si>
  <si>
    <t>93.7 ± 4.2</t>
  </si>
  <si>
    <t>92.1 ± 3.9</t>
  </si>
  <si>
    <t>σ (kernel width)</t>
  </si>
  <si>
    <t>0.02</t>
  </si>
  <si>
    <t>0.04</t>
  </si>
  <si>
    <t>0.06</t>
  </si>
  <si>
    <t>0.1</t>
  </si>
  <si>
    <t>0.2</t>
  </si>
  <si>
    <t>92.3 ± 4.5</t>
  </si>
  <si>
    <t>93.8 ± 4.0</t>
  </si>
  <si>
    <t>94.0 ± 4.7</t>
  </si>
  <si>
    <t>92.8 ± 5.2</t>
  </si>
  <si>
    <t>91.5 ± 4.9</t>
  </si>
  <si>
    <t>λ (penalty)</t>
  </si>
  <si>
    <t>0.0</t>
  </si>
  <si>
    <t>1.0</t>
  </si>
  <si>
    <t>2.0</t>
  </si>
  <si>
    <t>4.0</t>
  </si>
  <si>
    <t>90.4 ± 4.9</t>
  </si>
  <si>
    <t>93.0 ± 3.8</t>
  </si>
  <si>
    <t>94.2 ± 3.9</t>
  </si>
  <si>
    <t>92.2 ± 4.6</t>
  </si>
  <si>
    <t>90.9 ± 5.2</t>
  </si>
  <si>
    <t>A14 — Cluster count: silhouette vs fixed k</t>
  </si>
  <si>
    <t>Does the adaptive k (Eq 8) beat a fixed k? On Push-T (image) and Wipe (state).</t>
  </si>
  <si>
    <t>Replace maximum-silhouette k-selection with a fixed k ∈ {2,3,4,5}; compare to the adaptive rule.</t>
  </si>
  <si>
    <t>Silhouette should roughly match the best fixed k; fixed k=3 is often near-optimal (honest concession).</t>
  </si>
  <si>
    <t>If a fixed k matches silhouette everywhere, Eq 8 is unnecessary machinery — just fix k.</t>
  </si>
  <si>
    <t>Setting</t>
  </si>
  <si>
    <t>Wipe (state) SR %</t>
  </si>
  <si>
    <t>Silhouette (adaptive)</t>
  </si>
  <si>
    <t>94.1 ± 4.1</t>
  </si>
  <si>
    <t>95.6 ± 4.0</t>
  </si>
  <si>
    <t>k=2</t>
  </si>
  <si>
    <t>92.2 ± 4.1</t>
  </si>
  <si>
    <t>93.0 ± 5.2</t>
  </si>
  <si>
    <t>k=3</t>
  </si>
  <si>
    <t>93.5 ± 4.2</t>
  </si>
  <si>
    <t>95.0 ± 5.4</t>
  </si>
  <si>
    <t>k=4</t>
  </si>
  <si>
    <t>92.7 ± 5.8</t>
  </si>
  <si>
    <t>94.3 ± 3.9</t>
  </si>
  <si>
    <t>k=5</t>
  </si>
  <si>
    <t>91.5 ± 4.0</t>
  </si>
  <si>
    <t>92.9 ± 5.0</t>
  </si>
  <si>
    <t>D1 — Root-cause label purity per geometric cluster</t>
  </si>
  <si>
    <t>Do the LLM root causes agree with the geometry-based clusters? (Q3 'semantically meaningful modes'.)</t>
  </si>
  <si>
    <t>For each cell: mean purity = fraction of a geometric cluster's failures sharing the LLM's dominant root cause; plus mean #distinct root causes per cluster.</t>
  </si>
  <si>
    <t>Purity should be high on clean tasks (Push-T, Lift) and lower on hard/image cells — coherent but not perfect.</t>
  </si>
  <si>
    <t>Low purity anywhere means clusters mix root causes and the 'coherent, well-separated' caption is cherry-picked from the Push-T panel.</t>
  </si>
  <si>
    <t>Mean cluster purity</t>
  </si>
  <si>
    <t>Mean #root-causes / cluster</t>
  </si>
  <si>
    <t>Mean silhouette</t>
  </si>
  <si>
    <t>D2 — Distribution of chosen k* across rounds</t>
  </si>
  <si>
    <t>Is k truly adaptive, or does silhouette always pick 3? Counts of k* over all rounds × seeds.</t>
  </si>
  <si>
    <t>For four cells, how many rounds selected each k ∈ {2,3,4,5,6}, and how many skipped the sweep (N≤3).</t>
  </si>
  <si>
    <t>A spread with a mode at 3 supports 'discovered' k; if k=3 dominates overwhelmingly, adaptivity is theatre.</t>
  </si>
  <si>
    <t>If k=3 is chosen ~always, Figure 5's k=3 is not a discovery and Eq 8 can be replaced by a constant.</t>
  </si>
  <si>
    <t>Task (cell)</t>
  </si>
  <si>
    <t>k=6</t>
  </si>
  <si>
    <t>N≤3 (skipped)</t>
  </si>
  <si>
    <t>Push-T (image)</t>
  </si>
  <si>
    <t>Wipe (state)</t>
  </si>
  <si>
    <t>Door (image)</t>
  </si>
  <si>
    <t>GridWorld (image)</t>
  </si>
  <si>
    <t>D3 — Bridge vs targeted usage per task</t>
  </si>
  <si>
    <t>How often is bridging actually chosen? Directly bounds what A7 can show.</t>
  </si>
  <si>
    <t>Per cell: share of accepted prescriptions that were bridging vs targeted (over all rounds × seeds).</t>
  </si>
  <si>
    <t>Bridging in ~15-30% of rounds on pose-randomized tasks; exactly 0% on Wipe (path-randomized) and GridWorld (corridor).</t>
  </si>
  <si>
    <t>If bridging is &lt;10% everywhere, it is not a real contribution and A7 will (correctly) show ~0 effect.</t>
  </si>
  <si>
    <t>Targeted %</t>
  </si>
  <si>
    <t>Bridge %</t>
  </si>
  <si>
    <t>Notes</t>
  </si>
  <si>
    <t>corridor layout only</t>
  </si>
  <si>
    <t>pose-randomized</t>
  </si>
  <si>
    <t>narrow reset range</t>
  </si>
  <si>
    <t>path randomized → bridging infeasible</t>
  </si>
  <si>
    <t>D4 — Failures per round over the budget (Push-T image, mean over 5 seeds)</t>
  </si>
  <si>
    <t>As the policy improves, failures get rare → clustering may be inactive in late rounds (N≤3 path).</t>
  </si>
  <si>
    <t>Mean failure count N per round r=1..20; flag rounds where N≤3 (clustering sweep skipped, each failure its own cluster).</t>
  </si>
  <si>
    <t>N should fall over rounds; late rounds increasingly hit N≤3, so clustering+memory act mainly in early/mid training.</t>
  </si>
  <si>
    <t>If most late rounds have N≤3, the clustering story applies to early training only — a quiet but real seam.</t>
  </si>
  <si>
    <t>Round r</t>
  </si>
  <si>
    <t>Mean failures N</t>
  </si>
  <si>
    <t>N ≤ 3 ? (sweep skipped)</t>
  </si>
  <si>
    <t>yes</t>
  </si>
  <si>
    <t>D5 — Wall-clock and token cost per round</t>
  </si>
  <si>
    <t>You list per-round reasoning cost as a limitation — give the number before a reviewer asks.</t>
  </si>
  <si>
    <t>Per-round overhead of the DISTIL reasoning pipeline vs an uncertainty-gated baseline: seconds/round and VLM+LLM tokens/round.</t>
  </si>
  <si>
    <t>DISTIL adds seconds and ~10-16k tokens per round; baselines incur ~0 foundation-model cost.</t>
  </si>
  <si>
    <t>A large overhead ratio for a few SR points is a real practicality objection — report it transparently.</t>
  </si>
  <si>
    <t>Baseline s/round</t>
  </si>
  <si>
    <t>DISTIL s/round</t>
  </si>
  <si>
    <t>VLM tokens/round</t>
  </si>
  <si>
    <t>LLM tokens/round</t>
  </si>
  <si>
    <t>Overhead ×</t>
  </si>
  <si>
    <t>S1 — Aggregate significance: sign test / Wilcoxon over the 10 paired means</t>
  </si>
  <si>
    <t>Converts '10/10 with overlapping error bars' into a statement about the ranking pattern.</t>
  </si>
  <si>
    <t>Pair DISTIL vs the best baseline in each of the 10 cells; test the null that DISTIL is not systematically higher (coin-flip ranking).</t>
  </si>
  <si>
    <t>A 10/10 sweep gives one-sided sign-test p = 0.5^10 ≈ 0.001; the Wilcoxon signed-rank over the 10 paired differences is the stronger version.</t>
  </si>
  <si>
    <t>Not applicable — this is the defense, not a claim to defeat. Report it in the Q1 text.</t>
  </si>
  <si>
    <t>DISTIL mean</t>
  </si>
  <si>
    <t>Best baseline mean</t>
  </si>
  <si>
    <t>Δ (DISTIL−best)</t>
  </si>
  <si>
    <t>DISTIL wins?</t>
  </si>
  <si>
    <t>Wins (out of 10)</t>
  </si>
  <si>
    <t>Mean Δ (points)</t>
  </si>
  <si>
    <t>One-sided sign-test p (all-win)</t>
  </si>
  <si>
    <t>Two-sided sign-test p</t>
  </si>
  <si>
    <t>Wilcoxon signed-rank (all 10 Δ&gt;0): W=0, n=10 → two-sided p ≈ 0.002 (compute with scipy.stats.wilcoxon on real means).</t>
  </si>
  <si>
    <t>Q3 — Honest per-checkpoint correlations (small effective n)</t>
  </si>
  <si>
    <t>Pre-empts the pseudoreplication attack: robot correlations rest on ~25 points, not 100.</t>
  </si>
  <si>
    <t>Report confidence↔ΔSR correlation two ways: the plotted per-demonstration r (large n) and the honest per-checkpoint r (n≈25 on robots: 5 seeds × 5 retrainings).</t>
  </si>
  <si>
    <t>Per-checkpoint r should be a little lower with clearly wider 95% CIs — the defensible number.</t>
  </si>
  <si>
    <t>Not applicable — this is you disclosing the correct effective n before a reviewer derives it.</t>
  </si>
  <si>
    <t>Per-demo r (plotted)</t>
  </si>
  <si>
    <t>n (per-demo)</t>
  </si>
  <si>
    <t>Per-checkpoint r</t>
  </si>
  <si>
    <t>n (checkpoints)</t>
  </si>
  <si>
    <t>95% CI half-width</t>
  </si>
  <si>
    <t>GridWorld retrains every round, so per-round = per-checkpoint (n large). Robot cells collapse to ~25 checkpoint outcomes.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</si>
</sst>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\+0.0;\-0.0"/>
    <numFmt numFmtId="166" formatCode="0.0\×"/>
    <numFmt numFmtId="167" formatCode="0.0000"/>
  </numFmts>
  <fonts count="9" x14ac:knownFonts="1">
    <font>
      <sz val="11"/>
      <color theme="1"/>
      <name val="Calibri"/>
      <family val="2"/>
      <charset val="1"/>
    </font>
    <font>
      <b/>
      <sz val="14"/>
      <color rgb="FF1F2937"/>
      <name val="Arial"/>
      <charset val="1"/>
    </font>
    <font>
      <i/>
      <sz val="10"/>
      <color rgb="FF6B7280"/>
      <name val="Arial"/>
      <charset val="1"/>
    </font>
    <font>
      <b/>
      <sz val="10"/>
      <color rgb="FF991B1B"/>
      <name val="Arial"/>
      <charset val="1"/>
    </font>
    <font>
      <b/>
      <sz val="10"/>
      <color rgb="FFFFFFFF"/>
      <name val="Arial"/>
      <charset val="1"/>
    </font>
    <font>
      <b/>
      <sz val="10"/>
      <color rgb="FF111827"/>
      <name val="Arial"/>
      <charset val="1"/>
    </font>
    <font>
      <sz val="10"/>
      <color rgb="FF111827"/>
      <name val="Arial"/>
      <charset val="1"/>
    </font>
    <font>
      <b/>
      <sz val="10"/>
      <color rgb="FF065F46"/>
      <name val="Arial"/>
      <charset val="1"/>
    </font>
    <font>
      <i/>
      <sz val="9"/>
      <color rgb="FF6B728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EF2F2"/>
        <bgColor rgb="FFF3F4F6"/>
      </patternFill>
    </fill>
    <fill>
      <patternFill patternType="solid">
        <fgColor rgb="FF374151"/>
        <bgColor rgb="FF1F2937"/>
      </patternFill>
    </fill>
    <fill>
      <patternFill patternType="solid">
        <fgColor rgb="FFD1FAE5"/>
        <bgColor rgb="FFEFF6FF"/>
      </patternFill>
    </fill>
    <fill>
      <patternFill patternType="solid">
        <fgColor rgb="FFEFF6FF"/>
        <bgColor rgb="FFF3F4F6"/>
      </patternFill>
    </fill>
    <fill>
      <patternFill patternType="solid">
        <fgColor rgb="FFF3F4F6"/>
        <b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6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/>
    <xf numFmtId="0" fontId="3" fillId="2" borderId="0" xfId="0" applyFont="1" applyFill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4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 wrapText="1"/>
    </xf>
    <xf numFmtId="165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16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2F2"/>
      <rgbColor rgb="FFEFF6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1B1B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opLeftCell="A15" zoomScaleNormal="100" workbookViewId="0"/>
  </sheetViews>
  <sheetFormatPr defaultColWidth="8.6328125" defaultRowHeight="14.5" x14ac:dyDescent="0.35"/>
  <cols>
    <col min="1" max="1" width="22" customWidth="1"/>
    <col min="2" max="2" width="46" customWidth="1"/>
    <col min="3" max="3" width="9" customWidth="1"/>
    <col min="4" max="4" width="52" customWidth="1"/>
  </cols>
  <sheetData>
    <row r="1" spans="1:8" ht="18" x14ac:dyDescent="0.4">
      <c r="A1" s="5" t="s">
        <v>0</v>
      </c>
    </row>
    <row r="2" spans="1:8" x14ac:dyDescent="0.35">
      <c r="A2" s="6" t="s">
        <v>1</v>
      </c>
    </row>
    <row r="4" spans="1:8" ht="15" customHeight="1" x14ac:dyDescent="0.35">
      <c r="A4" s="4" t="s">
        <v>2</v>
      </c>
      <c r="B4" s="4"/>
      <c r="C4" s="4"/>
      <c r="D4" s="4"/>
      <c r="E4" s="4"/>
      <c r="F4" s="4"/>
      <c r="G4" s="4"/>
      <c r="H4" s="4"/>
    </row>
    <row r="5" spans="1:8" x14ac:dyDescent="0.35">
      <c r="A5" s="4"/>
      <c r="B5" s="4"/>
      <c r="C5" s="4"/>
      <c r="D5" s="4"/>
      <c r="E5" s="4"/>
      <c r="F5" s="4"/>
      <c r="G5" s="4"/>
      <c r="H5" s="4"/>
    </row>
    <row r="7" spans="1:8" ht="18" x14ac:dyDescent="0.4">
      <c r="A7" s="5" t="s">
        <v>3</v>
      </c>
    </row>
    <row r="8" spans="1:8" x14ac:dyDescent="0.35">
      <c r="A8" s="7" t="s">
        <v>4</v>
      </c>
      <c r="B8" s="7" t="s">
        <v>5</v>
      </c>
      <c r="C8" s="7" t="s">
        <v>6</v>
      </c>
      <c r="D8" s="7" t="s">
        <v>7</v>
      </c>
    </row>
    <row r="9" spans="1:8" x14ac:dyDescent="0.35">
      <c r="A9" s="8" t="s">
        <v>8</v>
      </c>
      <c r="B9" s="9" t="s">
        <v>9</v>
      </c>
      <c r="C9" s="10" t="s">
        <v>10</v>
      </c>
      <c r="D9" s="9" t="s">
        <v>11</v>
      </c>
    </row>
    <row r="10" spans="1:8" x14ac:dyDescent="0.35">
      <c r="A10" s="8" t="s">
        <v>12</v>
      </c>
      <c r="B10" s="9" t="s">
        <v>13</v>
      </c>
      <c r="C10" s="10" t="s">
        <v>10</v>
      </c>
      <c r="D10" s="9" t="s">
        <v>11</v>
      </c>
    </row>
    <row r="11" spans="1:8" x14ac:dyDescent="0.35">
      <c r="A11" s="8" t="s">
        <v>14</v>
      </c>
      <c r="B11" s="9" t="s">
        <v>15</v>
      </c>
      <c r="C11" s="10" t="s">
        <v>16</v>
      </c>
      <c r="D11" s="9" t="s">
        <v>17</v>
      </c>
    </row>
    <row r="12" spans="1:8" x14ac:dyDescent="0.35">
      <c r="A12" s="8" t="s">
        <v>18</v>
      </c>
      <c r="B12" s="9" t="s">
        <v>19</v>
      </c>
      <c r="C12" s="10" t="s">
        <v>16</v>
      </c>
      <c r="D12" s="9" t="s">
        <v>20</v>
      </c>
    </row>
    <row r="13" spans="1:8" x14ac:dyDescent="0.35">
      <c r="A13" s="8" t="s">
        <v>21</v>
      </c>
      <c r="B13" s="9" t="s">
        <v>22</v>
      </c>
      <c r="C13" s="10" t="s">
        <v>16</v>
      </c>
      <c r="D13" s="9" t="s">
        <v>23</v>
      </c>
    </row>
    <row r="14" spans="1:8" ht="25" x14ac:dyDescent="0.35">
      <c r="A14" s="8" t="s">
        <v>24</v>
      </c>
      <c r="B14" s="9" t="s">
        <v>25</v>
      </c>
      <c r="C14" s="10" t="s">
        <v>16</v>
      </c>
      <c r="D14" s="9" t="s">
        <v>26</v>
      </c>
    </row>
    <row r="15" spans="1:8" x14ac:dyDescent="0.35">
      <c r="A15" s="8" t="s">
        <v>27</v>
      </c>
      <c r="B15" s="9" t="s">
        <v>28</v>
      </c>
      <c r="C15" s="10" t="s">
        <v>16</v>
      </c>
      <c r="D15" s="9" t="s">
        <v>29</v>
      </c>
    </row>
    <row r="16" spans="1:8" x14ac:dyDescent="0.35">
      <c r="A16" s="8" t="s">
        <v>30</v>
      </c>
      <c r="B16" s="9" t="s">
        <v>31</v>
      </c>
      <c r="C16" s="10" t="s">
        <v>32</v>
      </c>
      <c r="D16" s="9" t="s">
        <v>33</v>
      </c>
    </row>
    <row r="17" spans="1:4" x14ac:dyDescent="0.35">
      <c r="A17" s="8" t="s">
        <v>34</v>
      </c>
      <c r="B17" s="9" t="s">
        <v>35</v>
      </c>
      <c r="C17" s="10" t="s">
        <v>32</v>
      </c>
      <c r="D17" s="9" t="s">
        <v>36</v>
      </c>
    </row>
    <row r="18" spans="1:4" x14ac:dyDescent="0.35">
      <c r="A18" s="8" t="s">
        <v>37</v>
      </c>
      <c r="B18" s="9" t="s">
        <v>38</v>
      </c>
      <c r="C18" s="10" t="s">
        <v>32</v>
      </c>
      <c r="D18" s="9" t="s">
        <v>39</v>
      </c>
    </row>
    <row r="19" spans="1:4" x14ac:dyDescent="0.35">
      <c r="A19" s="8" t="s">
        <v>40</v>
      </c>
      <c r="B19" s="9" t="s">
        <v>41</v>
      </c>
      <c r="C19" s="10" t="s">
        <v>32</v>
      </c>
      <c r="D19" s="9" t="s">
        <v>42</v>
      </c>
    </row>
    <row r="20" spans="1:4" x14ac:dyDescent="0.35">
      <c r="A20" s="8" t="s">
        <v>43</v>
      </c>
      <c r="B20" s="9" t="s">
        <v>44</v>
      </c>
      <c r="C20" s="10" t="s">
        <v>32</v>
      </c>
      <c r="D20" s="9" t="s">
        <v>45</v>
      </c>
    </row>
    <row r="21" spans="1:4" x14ac:dyDescent="0.35">
      <c r="A21" s="8" t="s">
        <v>46</v>
      </c>
      <c r="B21" s="9" t="s">
        <v>47</v>
      </c>
      <c r="C21" s="10" t="s">
        <v>16</v>
      </c>
      <c r="D21" s="9" t="s">
        <v>48</v>
      </c>
    </row>
    <row r="22" spans="1:4" x14ac:dyDescent="0.35">
      <c r="A22" s="8" t="s">
        <v>49</v>
      </c>
      <c r="B22" s="9" t="s">
        <v>50</v>
      </c>
      <c r="C22" s="10" t="s">
        <v>32</v>
      </c>
      <c r="D22" s="9" t="s">
        <v>51</v>
      </c>
    </row>
    <row r="23" spans="1:4" x14ac:dyDescent="0.35">
      <c r="A23" s="8" t="s">
        <v>52</v>
      </c>
      <c r="B23" s="9" t="s">
        <v>53</v>
      </c>
      <c r="C23" s="10" t="s">
        <v>32</v>
      </c>
      <c r="D23" s="9" t="s">
        <v>54</v>
      </c>
    </row>
    <row r="24" spans="1:4" x14ac:dyDescent="0.35">
      <c r="A24" s="8" t="s">
        <v>55</v>
      </c>
      <c r="B24" s="9" t="s">
        <v>56</v>
      </c>
      <c r="C24" s="10" t="s">
        <v>32</v>
      </c>
      <c r="D24" s="9" t="s">
        <v>57</v>
      </c>
    </row>
    <row r="25" spans="1:4" x14ac:dyDescent="0.35">
      <c r="A25" s="8" t="s">
        <v>58</v>
      </c>
      <c r="B25" s="9" t="s">
        <v>59</v>
      </c>
      <c r="C25" s="10" t="s">
        <v>60</v>
      </c>
      <c r="D25" s="9" t="s">
        <v>61</v>
      </c>
    </row>
    <row r="26" spans="1:4" x14ac:dyDescent="0.35">
      <c r="A26" s="8" t="s">
        <v>62</v>
      </c>
      <c r="B26" s="9" t="s">
        <v>63</v>
      </c>
      <c r="C26" s="10" t="s">
        <v>60</v>
      </c>
      <c r="D26" s="9" t="s">
        <v>64</v>
      </c>
    </row>
    <row r="27" spans="1:4" x14ac:dyDescent="0.35">
      <c r="A27" s="8" t="s">
        <v>65</v>
      </c>
      <c r="B27" s="9" t="s">
        <v>66</v>
      </c>
      <c r="C27" s="10" t="s">
        <v>60</v>
      </c>
      <c r="D27" s="9" t="s">
        <v>67</v>
      </c>
    </row>
    <row r="28" spans="1:4" x14ac:dyDescent="0.35">
      <c r="A28" s="8" t="s">
        <v>68</v>
      </c>
      <c r="B28" s="9" t="s">
        <v>69</v>
      </c>
      <c r="C28" s="10" t="s">
        <v>60</v>
      </c>
      <c r="D28" s="9" t="s">
        <v>70</v>
      </c>
    </row>
    <row r="29" spans="1:4" x14ac:dyDescent="0.35">
      <c r="A29" s="8" t="s">
        <v>71</v>
      </c>
      <c r="B29" s="9" t="s">
        <v>72</v>
      </c>
      <c r="C29" s="10" t="s">
        <v>60</v>
      </c>
      <c r="D29" s="9" t="s">
        <v>73</v>
      </c>
    </row>
    <row r="30" spans="1:4" x14ac:dyDescent="0.35">
      <c r="A30" s="8" t="s">
        <v>74</v>
      </c>
      <c r="B30" s="9" t="s">
        <v>75</v>
      </c>
      <c r="C30" s="10" t="s">
        <v>16</v>
      </c>
      <c r="D30" s="9" t="s">
        <v>76</v>
      </c>
    </row>
    <row r="31" spans="1:4" x14ac:dyDescent="0.35">
      <c r="A31" s="8" t="s">
        <v>77</v>
      </c>
      <c r="B31" s="9" t="s">
        <v>78</v>
      </c>
      <c r="C31" s="10" t="s">
        <v>32</v>
      </c>
      <c r="D31" s="9" t="s">
        <v>79</v>
      </c>
    </row>
  </sheetData>
  <mergeCells count="1">
    <mergeCell ref="A4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showGridLines="0" zoomScaleNormal="100" workbookViewId="0">
      <selection activeCell="H20" sqref="H20"/>
    </sheetView>
  </sheetViews>
  <sheetFormatPr defaultColWidth="8.6328125" defaultRowHeight="14.5" x14ac:dyDescent="0.35"/>
  <cols>
    <col min="1" max="1" width="15" customWidth="1"/>
    <col min="2" max="2" width="8" customWidth="1"/>
    <col min="3" max="9" width="13" customWidth="1"/>
    <col min="10" max="10" width="12.36328125" bestFit="1" customWidth="1"/>
  </cols>
  <sheetData>
    <row r="1" spans="1:10" ht="18" x14ac:dyDescent="0.4">
      <c r="A1" s="5" t="s">
        <v>80</v>
      </c>
    </row>
    <row r="2" spans="1:10" x14ac:dyDescent="0.35">
      <c r="A2" s="6" t="s">
        <v>81</v>
      </c>
    </row>
    <row r="4" spans="1:10" x14ac:dyDescent="0.35">
      <c r="A4" s="7" t="s">
        <v>82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87</v>
      </c>
      <c r="G4" s="7" t="s">
        <v>88</v>
      </c>
      <c r="H4" s="7" t="s">
        <v>89</v>
      </c>
      <c r="I4" s="7" t="s">
        <v>90</v>
      </c>
      <c r="J4" s="7" t="s">
        <v>91</v>
      </c>
    </row>
    <row r="5" spans="1:10" x14ac:dyDescent="0.35">
      <c r="A5" s="11" t="s">
        <v>92</v>
      </c>
      <c r="B5" s="10" t="s">
        <v>93</v>
      </c>
      <c r="C5" s="10" t="s">
        <v>94</v>
      </c>
      <c r="D5" s="10" t="s">
        <v>95</v>
      </c>
      <c r="E5" s="10" t="s">
        <v>96</v>
      </c>
      <c r="F5" s="10" t="s">
        <v>97</v>
      </c>
      <c r="G5" s="10" t="s">
        <v>98</v>
      </c>
      <c r="H5" s="10" t="s">
        <v>99</v>
      </c>
      <c r="I5" s="12" t="s">
        <v>100</v>
      </c>
      <c r="J5" s="13">
        <v>86.8</v>
      </c>
    </row>
    <row r="6" spans="1:10" x14ac:dyDescent="0.35">
      <c r="A6" s="11" t="s">
        <v>92</v>
      </c>
      <c r="B6" s="10" t="s">
        <v>101</v>
      </c>
      <c r="C6" s="10" t="s">
        <v>102</v>
      </c>
      <c r="D6" s="10" t="s">
        <v>103</v>
      </c>
      <c r="E6" s="10" t="s">
        <v>104</v>
      </c>
      <c r="F6" s="10" t="s">
        <v>105</v>
      </c>
      <c r="G6" s="10" t="s">
        <v>106</v>
      </c>
      <c r="H6" s="10" t="s">
        <v>99</v>
      </c>
      <c r="I6" s="12" t="s">
        <v>107</v>
      </c>
      <c r="J6" s="13">
        <v>87.1</v>
      </c>
    </row>
    <row r="7" spans="1:10" x14ac:dyDescent="0.35">
      <c r="A7" s="11" t="s">
        <v>108</v>
      </c>
      <c r="B7" s="10" t="s">
        <v>93</v>
      </c>
      <c r="C7" s="10" t="s">
        <v>109</v>
      </c>
      <c r="D7" s="10" t="s">
        <v>110</v>
      </c>
      <c r="E7" s="10" t="s">
        <v>111</v>
      </c>
      <c r="F7" s="10" t="s">
        <v>112</v>
      </c>
      <c r="G7" s="10" t="s">
        <v>99</v>
      </c>
      <c r="H7" s="10" t="s">
        <v>113</v>
      </c>
      <c r="I7" s="12" t="s">
        <v>114</v>
      </c>
      <c r="J7" s="13">
        <v>90.7</v>
      </c>
    </row>
    <row r="8" spans="1:10" x14ac:dyDescent="0.35">
      <c r="A8" s="11" t="s">
        <v>108</v>
      </c>
      <c r="B8" s="10" t="s">
        <v>101</v>
      </c>
      <c r="C8" s="10" t="s">
        <v>115</v>
      </c>
      <c r="D8" s="10" t="s">
        <v>116</v>
      </c>
      <c r="E8" s="10" t="s">
        <v>117</v>
      </c>
      <c r="F8" s="10" t="s">
        <v>118</v>
      </c>
      <c r="G8" s="10" t="s">
        <v>99</v>
      </c>
      <c r="H8" s="10" t="s">
        <v>119</v>
      </c>
      <c r="I8" s="12" t="s">
        <v>120</v>
      </c>
      <c r="J8" s="13">
        <v>89</v>
      </c>
    </row>
    <row r="9" spans="1:10" x14ac:dyDescent="0.35">
      <c r="A9" s="11" t="s">
        <v>121</v>
      </c>
      <c r="B9" s="10" t="s">
        <v>93</v>
      </c>
      <c r="C9" s="10" t="s">
        <v>122</v>
      </c>
      <c r="D9" s="10" t="s">
        <v>123</v>
      </c>
      <c r="E9" s="10" t="s">
        <v>123</v>
      </c>
      <c r="F9" s="10" t="s">
        <v>124</v>
      </c>
      <c r="G9" s="10" t="s">
        <v>99</v>
      </c>
      <c r="H9" s="10" t="s">
        <v>123</v>
      </c>
      <c r="I9" s="12" t="s">
        <v>125</v>
      </c>
      <c r="J9" s="13">
        <v>99.2</v>
      </c>
    </row>
    <row r="10" spans="1:10" x14ac:dyDescent="0.35">
      <c r="A10" s="11" t="s">
        <v>121</v>
      </c>
      <c r="B10" s="10" t="s">
        <v>101</v>
      </c>
      <c r="C10" s="10" t="s">
        <v>126</v>
      </c>
      <c r="D10" s="10" t="s">
        <v>127</v>
      </c>
      <c r="E10" s="10" t="s">
        <v>128</v>
      </c>
      <c r="F10" s="10" t="s">
        <v>126</v>
      </c>
      <c r="G10" s="10" t="s">
        <v>99</v>
      </c>
      <c r="H10" s="10" t="s">
        <v>126</v>
      </c>
      <c r="I10" s="12" t="s">
        <v>125</v>
      </c>
      <c r="J10" s="13">
        <v>99.6</v>
      </c>
    </row>
    <row r="11" spans="1:10" x14ac:dyDescent="0.35">
      <c r="A11" s="11" t="s">
        <v>129</v>
      </c>
      <c r="B11" s="10" t="s">
        <v>93</v>
      </c>
      <c r="C11" s="10" t="s">
        <v>130</v>
      </c>
      <c r="D11" s="10" t="s">
        <v>131</v>
      </c>
      <c r="E11" s="10" t="s">
        <v>132</v>
      </c>
      <c r="F11" s="10" t="s">
        <v>133</v>
      </c>
      <c r="G11" s="10" t="s">
        <v>99</v>
      </c>
      <c r="H11" s="10" t="s">
        <v>134</v>
      </c>
      <c r="I11" s="12" t="s">
        <v>135</v>
      </c>
      <c r="J11" s="13">
        <v>90.8</v>
      </c>
    </row>
    <row r="12" spans="1:10" x14ac:dyDescent="0.35">
      <c r="A12" s="11" t="s">
        <v>129</v>
      </c>
      <c r="B12" s="10" t="s">
        <v>101</v>
      </c>
      <c r="C12" s="10" t="s">
        <v>136</v>
      </c>
      <c r="D12" s="10" t="s">
        <v>137</v>
      </c>
      <c r="E12" s="10" t="s">
        <v>138</v>
      </c>
      <c r="F12" s="10" t="s">
        <v>139</v>
      </c>
      <c r="G12" s="10" t="s">
        <v>99</v>
      </c>
      <c r="H12" s="10" t="s">
        <v>140</v>
      </c>
      <c r="I12" s="12" t="s">
        <v>141</v>
      </c>
      <c r="J12" s="13">
        <v>89.6</v>
      </c>
    </row>
    <row r="13" spans="1:10" x14ac:dyDescent="0.35">
      <c r="A13" s="11" t="s">
        <v>142</v>
      </c>
      <c r="B13" s="10" t="s">
        <v>93</v>
      </c>
      <c r="C13" s="10" t="s">
        <v>143</v>
      </c>
      <c r="D13" s="10" t="s">
        <v>144</v>
      </c>
      <c r="E13" s="10" t="s">
        <v>145</v>
      </c>
      <c r="F13" s="10" t="s">
        <v>146</v>
      </c>
      <c r="G13" s="10" t="s">
        <v>99</v>
      </c>
      <c r="H13" s="10" t="s">
        <v>147</v>
      </c>
      <c r="I13" s="12" t="s">
        <v>148</v>
      </c>
      <c r="J13" s="13">
        <v>95.2</v>
      </c>
    </row>
    <row r="14" spans="1:10" x14ac:dyDescent="0.35">
      <c r="A14" s="11" t="s">
        <v>142</v>
      </c>
      <c r="B14" s="10" t="s">
        <v>101</v>
      </c>
      <c r="C14" s="10" t="s">
        <v>149</v>
      </c>
      <c r="D14" s="10" t="s">
        <v>150</v>
      </c>
      <c r="E14" s="10" t="s">
        <v>151</v>
      </c>
      <c r="F14" s="10" t="s">
        <v>144</v>
      </c>
      <c r="G14" s="10" t="s">
        <v>99</v>
      </c>
      <c r="H14" s="10" t="s">
        <v>152</v>
      </c>
      <c r="I14" s="12" t="s">
        <v>153</v>
      </c>
      <c r="J14" s="13">
        <v>92.8</v>
      </c>
    </row>
    <row r="15" spans="1:10" x14ac:dyDescent="0.35">
      <c r="A15" s="3" t="s">
        <v>154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ht="15" customHeight="1" x14ac:dyDescent="0.35">
      <c r="A16" s="2" t="s">
        <v>155</v>
      </c>
      <c r="B16" s="2"/>
      <c r="C16" s="2"/>
      <c r="D16" s="2"/>
      <c r="E16" s="2"/>
      <c r="F16" s="2"/>
      <c r="G16" s="2"/>
      <c r="H16" s="2"/>
      <c r="I16" s="2"/>
      <c r="J16" s="2"/>
    </row>
  </sheetData>
  <mergeCells count="2">
    <mergeCell ref="A15:J15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showGridLines="0" zoomScaleNormal="100" workbookViewId="0"/>
  </sheetViews>
  <sheetFormatPr defaultColWidth="8.6328125" defaultRowHeight="14.5" x14ac:dyDescent="0.35"/>
  <cols>
    <col min="1" max="1" width="15" customWidth="1"/>
    <col min="2" max="2" width="8" customWidth="1"/>
    <col min="3" max="9" width="12" customWidth="1"/>
  </cols>
  <sheetData>
    <row r="1" spans="1:9" ht="18" x14ac:dyDescent="0.4">
      <c r="A1" s="5" t="s">
        <v>156</v>
      </c>
    </row>
    <row r="2" spans="1:9" x14ac:dyDescent="0.35">
      <c r="A2" s="6" t="s">
        <v>157</v>
      </c>
    </row>
    <row r="4" spans="1:9" x14ac:dyDescent="0.35">
      <c r="A4" s="7" t="s">
        <v>82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87</v>
      </c>
      <c r="G4" s="7" t="s">
        <v>88</v>
      </c>
      <c r="H4" s="7" t="s">
        <v>89</v>
      </c>
      <c r="I4" s="7" t="s">
        <v>90</v>
      </c>
    </row>
    <row r="5" spans="1:9" x14ac:dyDescent="0.35">
      <c r="A5" s="11" t="s">
        <v>92</v>
      </c>
      <c r="B5" s="10" t="s">
        <v>93</v>
      </c>
      <c r="C5" s="14">
        <v>2.5499999999999998</v>
      </c>
      <c r="D5" s="14">
        <v>2.95</v>
      </c>
      <c r="E5" s="14">
        <v>1.33</v>
      </c>
      <c r="F5" s="14">
        <v>1.34</v>
      </c>
      <c r="G5" s="14">
        <v>1.83</v>
      </c>
      <c r="H5" s="10" t="s">
        <v>99</v>
      </c>
      <c r="I5" s="15">
        <v>3.55</v>
      </c>
    </row>
    <row r="6" spans="1:9" x14ac:dyDescent="0.35">
      <c r="A6" s="11" t="s">
        <v>92</v>
      </c>
      <c r="B6" s="10" t="s">
        <v>101</v>
      </c>
      <c r="C6" s="14">
        <v>2.46</v>
      </c>
      <c r="D6" s="14">
        <v>2.5299999999999998</v>
      </c>
      <c r="E6" s="14">
        <v>1.57</v>
      </c>
      <c r="F6" s="14">
        <v>1.37</v>
      </c>
      <c r="G6" s="14">
        <v>1.88</v>
      </c>
      <c r="H6" s="10" t="s">
        <v>99</v>
      </c>
      <c r="I6" s="15">
        <v>3.21</v>
      </c>
    </row>
    <row r="7" spans="1:9" x14ac:dyDescent="0.35">
      <c r="A7" s="11" t="s">
        <v>108</v>
      </c>
      <c r="B7" s="10" t="s">
        <v>93</v>
      </c>
      <c r="C7" s="14">
        <v>1.66</v>
      </c>
      <c r="D7" s="14">
        <v>2.36</v>
      </c>
      <c r="E7" s="14">
        <v>1.1100000000000001</v>
      </c>
      <c r="F7" s="14">
        <v>1.1000000000000001</v>
      </c>
      <c r="G7" s="10" t="s">
        <v>99</v>
      </c>
      <c r="H7" s="14">
        <v>1.57</v>
      </c>
      <c r="I7" s="15">
        <v>2.81</v>
      </c>
    </row>
    <row r="8" spans="1:9" x14ac:dyDescent="0.35">
      <c r="A8" s="11" t="s">
        <v>108</v>
      </c>
      <c r="B8" s="10" t="s">
        <v>101</v>
      </c>
      <c r="C8" s="14">
        <v>2.04</v>
      </c>
      <c r="D8" s="14">
        <v>2.16</v>
      </c>
      <c r="E8" s="14">
        <v>1.06</v>
      </c>
      <c r="F8" s="14">
        <v>1.2</v>
      </c>
      <c r="G8" s="10" t="s">
        <v>99</v>
      </c>
      <c r="H8" s="14">
        <v>1.8</v>
      </c>
      <c r="I8" s="15">
        <v>2.82</v>
      </c>
    </row>
    <row r="9" spans="1:9" x14ac:dyDescent="0.35">
      <c r="A9" s="11" t="s">
        <v>121</v>
      </c>
      <c r="B9" s="10" t="s">
        <v>93</v>
      </c>
      <c r="C9" s="14">
        <v>2.23</v>
      </c>
      <c r="D9" s="14">
        <v>2.1</v>
      </c>
      <c r="E9" s="14">
        <v>1.1200000000000001</v>
      </c>
      <c r="F9" s="14">
        <v>1.1299999999999999</v>
      </c>
      <c r="G9" s="10" t="s">
        <v>99</v>
      </c>
      <c r="H9" s="14">
        <v>1.61</v>
      </c>
      <c r="I9" s="15">
        <v>2.64</v>
      </c>
    </row>
    <row r="10" spans="1:9" x14ac:dyDescent="0.35">
      <c r="A10" s="11" t="s">
        <v>121</v>
      </c>
      <c r="B10" s="10" t="s">
        <v>101</v>
      </c>
      <c r="C10" s="14">
        <v>2.1800000000000002</v>
      </c>
      <c r="D10" s="14">
        <v>2.17</v>
      </c>
      <c r="E10" s="14">
        <v>1</v>
      </c>
      <c r="F10" s="14">
        <v>1.21</v>
      </c>
      <c r="G10" s="10" t="s">
        <v>99</v>
      </c>
      <c r="H10" s="14">
        <v>1.36</v>
      </c>
      <c r="I10" s="15">
        <v>2.93</v>
      </c>
    </row>
    <row r="11" spans="1:9" x14ac:dyDescent="0.35">
      <c r="A11" s="11" t="s">
        <v>129</v>
      </c>
      <c r="B11" s="10" t="s">
        <v>93</v>
      </c>
      <c r="C11" s="14">
        <v>2.02</v>
      </c>
      <c r="D11" s="14">
        <v>2.38</v>
      </c>
      <c r="E11" s="14">
        <v>1.23</v>
      </c>
      <c r="F11" s="14">
        <v>1.18</v>
      </c>
      <c r="G11" s="10" t="s">
        <v>99</v>
      </c>
      <c r="H11" s="14">
        <v>1.43</v>
      </c>
      <c r="I11" s="15">
        <v>2.91</v>
      </c>
    </row>
    <row r="12" spans="1:9" x14ac:dyDescent="0.35">
      <c r="A12" s="11" t="s">
        <v>129</v>
      </c>
      <c r="B12" s="10" t="s">
        <v>101</v>
      </c>
      <c r="C12" s="14">
        <v>2.5</v>
      </c>
      <c r="D12" s="14">
        <v>2.96</v>
      </c>
      <c r="E12" s="14">
        <v>1.43</v>
      </c>
      <c r="F12" s="14">
        <v>1.52</v>
      </c>
      <c r="G12" s="10" t="s">
        <v>99</v>
      </c>
      <c r="H12" s="14">
        <v>1.95</v>
      </c>
      <c r="I12" s="15">
        <v>3.62</v>
      </c>
    </row>
    <row r="13" spans="1:9" x14ac:dyDescent="0.35">
      <c r="A13" s="11" t="s">
        <v>142</v>
      </c>
      <c r="B13" s="10" t="s">
        <v>93</v>
      </c>
      <c r="C13" s="14">
        <v>2.5299999999999998</v>
      </c>
      <c r="D13" s="14">
        <v>3.1</v>
      </c>
      <c r="E13" s="14">
        <v>1.43</v>
      </c>
      <c r="F13" s="14">
        <v>1.42</v>
      </c>
      <c r="G13" s="10" t="s">
        <v>99</v>
      </c>
      <c r="H13" s="14">
        <v>1.84</v>
      </c>
      <c r="I13" s="15">
        <v>3.43</v>
      </c>
    </row>
    <row r="14" spans="1:9" x14ac:dyDescent="0.35">
      <c r="A14" s="11" t="s">
        <v>142</v>
      </c>
      <c r="B14" s="10" t="s">
        <v>101</v>
      </c>
      <c r="C14" s="14">
        <v>2.35</v>
      </c>
      <c r="D14" s="14">
        <v>2.46</v>
      </c>
      <c r="E14" s="14">
        <v>1.24</v>
      </c>
      <c r="F14" s="14">
        <v>1.26</v>
      </c>
      <c r="G14" s="10" t="s">
        <v>99</v>
      </c>
      <c r="H14" s="14">
        <v>1.58</v>
      </c>
      <c r="I14" s="15">
        <v>3</v>
      </c>
    </row>
    <row r="15" spans="1:9" ht="22.4" customHeight="1" x14ac:dyDescent="0.35">
      <c r="A15" s="2" t="s">
        <v>155</v>
      </c>
      <c r="B15" s="2"/>
      <c r="C15" s="2"/>
      <c r="D15" s="2"/>
      <c r="E15" s="2"/>
      <c r="F15" s="2"/>
      <c r="G15" s="2"/>
      <c r="H15" s="2"/>
      <c r="I15" s="2"/>
    </row>
  </sheetData>
  <mergeCells count="1">
    <mergeCell ref="A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showGridLines="0" zoomScaleNormal="100" workbookViewId="0">
      <selection activeCell="I9" sqref="I9"/>
    </sheetView>
  </sheetViews>
  <sheetFormatPr defaultColWidth="8.6328125" defaultRowHeight="14.5" x14ac:dyDescent="0.35"/>
  <cols>
    <col min="1" max="1" width="15" customWidth="1"/>
    <col min="2" max="2" width="8" customWidth="1"/>
    <col min="3" max="4" width="17" customWidth="1"/>
    <col min="5" max="5" width="24.90625" bestFit="1" customWidth="1"/>
    <col min="6" max="6" width="14.08984375" bestFit="1" customWidth="1"/>
    <col min="7" max="7" width="17" customWidth="1"/>
    <col min="9" max="9" width="11" customWidth="1"/>
  </cols>
  <sheetData>
    <row r="1" spans="1:9" ht="18" x14ac:dyDescent="0.4">
      <c r="A1" s="5" t="s">
        <v>158</v>
      </c>
    </row>
    <row r="2" spans="1:9" x14ac:dyDescent="0.35">
      <c r="A2" s="6" t="s">
        <v>159</v>
      </c>
    </row>
    <row r="4" spans="1:9" ht="23.9" customHeight="1" x14ac:dyDescent="0.35">
      <c r="A4" s="16" t="s">
        <v>160</v>
      </c>
      <c r="B4" s="1" t="s">
        <v>161</v>
      </c>
      <c r="C4" s="1"/>
      <c r="D4" s="1"/>
      <c r="E4" s="1"/>
      <c r="F4" s="1"/>
      <c r="G4" s="1"/>
    </row>
    <row r="5" spans="1:9" ht="35" customHeight="1" x14ac:dyDescent="0.35">
      <c r="A5" s="16" t="s">
        <v>162</v>
      </c>
      <c r="B5" s="1" t="s">
        <v>163</v>
      </c>
      <c r="C5" s="1"/>
      <c r="D5" s="1"/>
      <c r="E5" s="1"/>
      <c r="F5" s="1"/>
      <c r="G5" s="1"/>
    </row>
    <row r="6" spans="1:9" ht="23.9" customHeight="1" x14ac:dyDescent="0.35">
      <c r="A6" s="16" t="s">
        <v>164</v>
      </c>
      <c r="B6" s="1" t="s">
        <v>165</v>
      </c>
      <c r="C6" s="1"/>
      <c r="D6" s="1"/>
      <c r="E6" s="1"/>
      <c r="F6" s="1"/>
      <c r="G6" s="1"/>
    </row>
    <row r="8" spans="1:9" x14ac:dyDescent="0.35">
      <c r="A8" s="7" t="s">
        <v>82</v>
      </c>
      <c r="B8" s="7" t="s">
        <v>83</v>
      </c>
      <c r="C8" s="7" t="s">
        <v>166</v>
      </c>
      <c r="D8" s="7" t="s">
        <v>167</v>
      </c>
      <c r="E8" s="7" t="s">
        <v>168</v>
      </c>
      <c r="F8" s="7" t="s">
        <v>169</v>
      </c>
      <c r="G8" s="7" t="s">
        <v>170</v>
      </c>
    </row>
    <row r="9" spans="1:9" x14ac:dyDescent="0.35">
      <c r="A9" s="11" t="s">
        <v>92</v>
      </c>
      <c r="B9" s="10" t="s">
        <v>93</v>
      </c>
      <c r="C9" s="13">
        <v>89.9</v>
      </c>
      <c r="D9" s="13">
        <v>86.8</v>
      </c>
      <c r="E9" s="10" t="s">
        <v>171</v>
      </c>
      <c r="F9" s="17">
        <f t="shared" ref="F9:F18" si="0">I9-C9</f>
        <v>-1.5</v>
      </c>
      <c r="G9" s="18">
        <f t="shared" ref="G9:G18" si="1">IF((C9-D9)=0,"",(I9-D9)/(C9-D9))</f>
        <v>0.51612903225806583</v>
      </c>
      <c r="I9" s="19">
        <v>88.4</v>
      </c>
    </row>
    <row r="10" spans="1:9" x14ac:dyDescent="0.35">
      <c r="A10" s="11" t="s">
        <v>92</v>
      </c>
      <c r="B10" s="10" t="s">
        <v>101</v>
      </c>
      <c r="C10" s="13">
        <v>89.6</v>
      </c>
      <c r="D10" s="13">
        <v>87.1</v>
      </c>
      <c r="E10" s="10" t="s">
        <v>172</v>
      </c>
      <c r="F10" s="17">
        <f t="shared" si="0"/>
        <v>-1.1999999999999886</v>
      </c>
      <c r="G10" s="18">
        <f t="shared" si="1"/>
        <v>0.52000000000000457</v>
      </c>
      <c r="I10" s="19">
        <v>88.4</v>
      </c>
    </row>
    <row r="11" spans="1:9" x14ac:dyDescent="0.35">
      <c r="A11" s="11" t="s">
        <v>108</v>
      </c>
      <c r="B11" s="10" t="s">
        <v>93</v>
      </c>
      <c r="C11" s="13">
        <v>96.1</v>
      </c>
      <c r="D11" s="13">
        <v>90.7</v>
      </c>
      <c r="E11" s="10" t="s">
        <v>173</v>
      </c>
      <c r="F11" s="17">
        <f t="shared" si="0"/>
        <v>-3.3999999999999915</v>
      </c>
      <c r="G11" s="18">
        <f t="shared" si="1"/>
        <v>0.37037037037037096</v>
      </c>
      <c r="I11" s="19">
        <v>92.7</v>
      </c>
    </row>
    <row r="12" spans="1:9" x14ac:dyDescent="0.35">
      <c r="A12" s="11" t="s">
        <v>108</v>
      </c>
      <c r="B12" s="10" t="s">
        <v>101</v>
      </c>
      <c r="C12" s="13">
        <v>93.9</v>
      </c>
      <c r="D12" s="13">
        <v>89</v>
      </c>
      <c r="E12" s="10" t="s">
        <v>174</v>
      </c>
      <c r="F12" s="17">
        <f t="shared" si="0"/>
        <v>-2.8000000000000114</v>
      </c>
      <c r="G12" s="18">
        <f t="shared" si="1"/>
        <v>0.42857142857142694</v>
      </c>
      <c r="I12" s="19">
        <v>91.1</v>
      </c>
    </row>
    <row r="13" spans="1:9" x14ac:dyDescent="0.35">
      <c r="A13" s="11" t="s">
        <v>121</v>
      </c>
      <c r="B13" s="10" t="s">
        <v>93</v>
      </c>
      <c r="C13" s="13">
        <v>100</v>
      </c>
      <c r="D13" s="13">
        <v>99.2</v>
      </c>
      <c r="E13" s="10" t="s">
        <v>175</v>
      </c>
      <c r="F13" s="17">
        <f t="shared" si="0"/>
        <v>-9.9999999999994316E-2</v>
      </c>
      <c r="G13" s="18">
        <f t="shared" si="1"/>
        <v>0.87500000000000666</v>
      </c>
      <c r="I13" s="19">
        <v>99.9</v>
      </c>
    </row>
    <row r="14" spans="1:9" x14ac:dyDescent="0.35">
      <c r="A14" s="11" t="s">
        <v>121</v>
      </c>
      <c r="B14" s="10" t="s">
        <v>101</v>
      </c>
      <c r="C14" s="13">
        <v>100</v>
      </c>
      <c r="D14" s="13">
        <v>99.6</v>
      </c>
      <c r="E14" s="10" t="s">
        <v>175</v>
      </c>
      <c r="F14" s="17">
        <f t="shared" si="0"/>
        <v>-9.9999999999994316E-2</v>
      </c>
      <c r="G14" s="18">
        <f t="shared" si="1"/>
        <v>0.75000000000001776</v>
      </c>
      <c r="I14" s="19">
        <v>99.9</v>
      </c>
    </row>
    <row r="15" spans="1:9" x14ac:dyDescent="0.35">
      <c r="A15" s="11" t="s">
        <v>129</v>
      </c>
      <c r="B15" s="10" t="s">
        <v>93</v>
      </c>
      <c r="C15" s="13">
        <v>95.5</v>
      </c>
      <c r="D15" s="13">
        <v>90.8</v>
      </c>
      <c r="E15" s="10" t="s">
        <v>176</v>
      </c>
      <c r="F15" s="17">
        <f t="shared" si="0"/>
        <v>-3.0999999999999943</v>
      </c>
      <c r="G15" s="18">
        <f t="shared" si="1"/>
        <v>0.34042553191489522</v>
      </c>
      <c r="I15" s="19">
        <v>92.4</v>
      </c>
    </row>
    <row r="16" spans="1:9" x14ac:dyDescent="0.35">
      <c r="A16" s="11" t="s">
        <v>129</v>
      </c>
      <c r="B16" s="10" t="s">
        <v>101</v>
      </c>
      <c r="C16" s="13">
        <v>95.3</v>
      </c>
      <c r="D16" s="13">
        <v>89.6</v>
      </c>
      <c r="E16" s="10" t="s">
        <v>177</v>
      </c>
      <c r="F16" s="17">
        <f t="shared" si="0"/>
        <v>-3.8999999999999915</v>
      </c>
      <c r="G16" s="18">
        <f t="shared" si="1"/>
        <v>0.31578947368421234</v>
      </c>
      <c r="I16" s="19">
        <v>91.4</v>
      </c>
    </row>
    <row r="17" spans="1:9" x14ac:dyDescent="0.35">
      <c r="A17" s="11" t="s">
        <v>142</v>
      </c>
      <c r="B17" s="10" t="s">
        <v>93</v>
      </c>
      <c r="C17" s="13">
        <v>98.4</v>
      </c>
      <c r="D17" s="13">
        <v>95.2</v>
      </c>
      <c r="E17" s="10" t="s">
        <v>178</v>
      </c>
      <c r="F17" s="17">
        <f t="shared" si="0"/>
        <v>-1.2000000000000028</v>
      </c>
      <c r="G17" s="18">
        <f t="shared" si="1"/>
        <v>0.62499999999999944</v>
      </c>
      <c r="I17" s="19">
        <v>97.2</v>
      </c>
    </row>
    <row r="18" spans="1:9" x14ac:dyDescent="0.35">
      <c r="A18" s="11" t="s">
        <v>142</v>
      </c>
      <c r="B18" s="10" t="s">
        <v>101</v>
      </c>
      <c r="C18" s="13">
        <v>99.2</v>
      </c>
      <c r="D18" s="13">
        <v>92.8</v>
      </c>
      <c r="E18" s="10" t="s">
        <v>179</v>
      </c>
      <c r="F18" s="17">
        <f t="shared" si="0"/>
        <v>-3.2000000000000028</v>
      </c>
      <c r="G18" s="18">
        <f t="shared" si="1"/>
        <v>0.5</v>
      </c>
      <c r="I18" s="19">
        <v>96</v>
      </c>
    </row>
    <row r="19" spans="1:9" x14ac:dyDescent="0.35">
      <c r="A19" s="3" t="s">
        <v>180</v>
      </c>
      <c r="B19" s="3"/>
      <c r="C19" s="3"/>
      <c r="D19" s="3"/>
      <c r="E19" s="3"/>
      <c r="F19" s="3"/>
      <c r="G19" s="3"/>
    </row>
    <row r="20" spans="1:9" ht="22.4" customHeight="1" x14ac:dyDescent="0.35">
      <c r="A20" s="2" t="s">
        <v>155</v>
      </c>
      <c r="B20" s="2"/>
      <c r="C20" s="2"/>
      <c r="D20" s="2"/>
      <c r="E20" s="2"/>
      <c r="F20" s="2"/>
      <c r="G20" s="2"/>
    </row>
  </sheetData>
  <mergeCells count="5">
    <mergeCell ref="B4:G4"/>
    <mergeCell ref="B5:G5"/>
    <mergeCell ref="B6:G6"/>
    <mergeCell ref="A19:G19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showGridLines="0" zoomScaleNormal="100" workbookViewId="0"/>
  </sheetViews>
  <sheetFormatPr defaultColWidth="8.6328125" defaultRowHeight="14.5" x14ac:dyDescent="0.35"/>
  <cols>
    <col min="1" max="1" width="15" customWidth="1"/>
    <col min="2" max="2" width="8" customWidth="1"/>
    <col min="3" max="3" width="17" customWidth="1"/>
    <col min="4" max="4" width="16.6328125" bestFit="1" customWidth="1"/>
    <col min="5" max="5" width="24.90625" bestFit="1" customWidth="1"/>
    <col min="6" max="7" width="17" customWidth="1"/>
    <col min="8" max="8" width="16.453125" bestFit="1" customWidth="1"/>
    <col min="10" max="10" width="11" customWidth="1"/>
  </cols>
  <sheetData>
    <row r="1" spans="1:10" ht="18" x14ac:dyDescent="0.4">
      <c r="A1" s="5" t="s">
        <v>181</v>
      </c>
    </row>
    <row r="2" spans="1:10" x14ac:dyDescent="0.35">
      <c r="A2" s="6" t="s">
        <v>182</v>
      </c>
    </row>
    <row r="4" spans="1:10" ht="23.9" customHeight="1" x14ac:dyDescent="0.35">
      <c r="A4" s="16" t="s">
        <v>160</v>
      </c>
      <c r="B4" s="1" t="s">
        <v>183</v>
      </c>
      <c r="C4" s="1"/>
      <c r="D4" s="1"/>
      <c r="E4" s="1"/>
      <c r="F4" s="1"/>
      <c r="G4" s="1"/>
    </row>
    <row r="5" spans="1:10" ht="35" customHeight="1" x14ac:dyDescent="0.35">
      <c r="A5" s="16" t="s">
        <v>162</v>
      </c>
      <c r="B5" s="1" t="s">
        <v>184</v>
      </c>
      <c r="C5" s="1"/>
      <c r="D5" s="1"/>
      <c r="E5" s="1"/>
      <c r="F5" s="1"/>
      <c r="G5" s="1"/>
    </row>
    <row r="6" spans="1:10" ht="23.9" customHeight="1" x14ac:dyDescent="0.35">
      <c r="A6" s="16" t="s">
        <v>164</v>
      </c>
      <c r="B6" s="1" t="s">
        <v>185</v>
      </c>
      <c r="C6" s="1"/>
      <c r="D6" s="1"/>
      <c r="E6" s="1"/>
      <c r="F6" s="1"/>
      <c r="G6" s="1"/>
    </row>
    <row r="8" spans="1:10" x14ac:dyDescent="0.35">
      <c r="A8" s="7" t="s">
        <v>82</v>
      </c>
      <c r="B8" s="7" t="s">
        <v>83</v>
      </c>
      <c r="C8" s="7" t="s">
        <v>166</v>
      </c>
      <c r="D8" s="7" t="s">
        <v>167</v>
      </c>
      <c r="E8" s="7" t="s">
        <v>168</v>
      </c>
      <c r="F8" s="7" t="s">
        <v>169</v>
      </c>
      <c r="G8" s="7" t="s">
        <v>170</v>
      </c>
      <c r="H8" s="7" t="s">
        <v>186</v>
      </c>
    </row>
    <row r="9" spans="1:10" x14ac:dyDescent="0.35">
      <c r="A9" s="11" t="s">
        <v>92</v>
      </c>
      <c r="B9" s="10" t="s">
        <v>93</v>
      </c>
      <c r="C9" s="13">
        <v>89.9</v>
      </c>
      <c r="D9" s="13">
        <v>86.8</v>
      </c>
      <c r="E9" s="10" t="s">
        <v>187</v>
      </c>
      <c r="F9" s="17">
        <f t="shared" ref="F9:F18" si="0">J9-C9</f>
        <v>-1.7000000000000028</v>
      </c>
      <c r="G9" s="18">
        <f t="shared" ref="G9:G18" si="1">IF((C9-D9)=0,"",(J9-D9)/(C9-D9))</f>
        <v>0.45161290322580705</v>
      </c>
      <c r="H9" s="14">
        <v>3.46</v>
      </c>
      <c r="J9" s="19">
        <v>88.2</v>
      </c>
    </row>
    <row r="10" spans="1:10" x14ac:dyDescent="0.35">
      <c r="A10" s="11" t="s">
        <v>92</v>
      </c>
      <c r="B10" s="10" t="s">
        <v>101</v>
      </c>
      <c r="C10" s="13">
        <v>89.6</v>
      </c>
      <c r="D10" s="13">
        <v>87.1</v>
      </c>
      <c r="E10" s="10" t="s">
        <v>188</v>
      </c>
      <c r="F10" s="17">
        <f t="shared" si="0"/>
        <v>-1.5999999999999943</v>
      </c>
      <c r="G10" s="18">
        <f t="shared" si="1"/>
        <v>0.36000000000000226</v>
      </c>
      <c r="H10" s="14">
        <v>3.23</v>
      </c>
      <c r="J10" s="19">
        <v>88</v>
      </c>
    </row>
    <row r="11" spans="1:10" x14ac:dyDescent="0.35">
      <c r="A11" s="11" t="s">
        <v>108</v>
      </c>
      <c r="B11" s="10" t="s">
        <v>93</v>
      </c>
      <c r="C11" s="13">
        <v>96.1</v>
      </c>
      <c r="D11" s="13">
        <v>90.7</v>
      </c>
      <c r="E11" s="10" t="s">
        <v>189</v>
      </c>
      <c r="F11" s="17">
        <f t="shared" si="0"/>
        <v>-3.5999999999999943</v>
      </c>
      <c r="G11" s="18">
        <f t="shared" si="1"/>
        <v>0.33333333333333331</v>
      </c>
      <c r="H11" s="14">
        <v>2.97</v>
      </c>
      <c r="J11" s="19">
        <v>92.5</v>
      </c>
    </row>
    <row r="12" spans="1:10" x14ac:dyDescent="0.35">
      <c r="A12" s="11" t="s">
        <v>108</v>
      </c>
      <c r="B12" s="10" t="s">
        <v>101</v>
      </c>
      <c r="C12" s="13">
        <v>93.9</v>
      </c>
      <c r="D12" s="13">
        <v>89</v>
      </c>
      <c r="E12" s="10" t="s">
        <v>190</v>
      </c>
      <c r="F12" s="17">
        <f t="shared" si="0"/>
        <v>-3.4000000000000057</v>
      </c>
      <c r="G12" s="18">
        <f t="shared" si="1"/>
        <v>0.30612244897959145</v>
      </c>
      <c r="H12" s="14">
        <v>3</v>
      </c>
      <c r="J12" s="19">
        <v>90.5</v>
      </c>
    </row>
    <row r="13" spans="1:10" x14ac:dyDescent="0.35">
      <c r="A13" s="11" t="s">
        <v>121</v>
      </c>
      <c r="B13" s="10" t="s">
        <v>93</v>
      </c>
      <c r="C13" s="13">
        <v>100</v>
      </c>
      <c r="D13" s="13">
        <v>99.2</v>
      </c>
      <c r="E13" s="10" t="s">
        <v>191</v>
      </c>
      <c r="F13" s="17">
        <f t="shared" si="0"/>
        <v>-9.9999999999994316E-2</v>
      </c>
      <c r="G13" s="18">
        <f t="shared" si="1"/>
        <v>0.87500000000000666</v>
      </c>
      <c r="H13" s="14">
        <v>2.76</v>
      </c>
      <c r="J13" s="19">
        <v>99.9</v>
      </c>
    </row>
    <row r="14" spans="1:10" x14ac:dyDescent="0.35">
      <c r="A14" s="11" t="s">
        <v>121</v>
      </c>
      <c r="B14" s="10" t="s">
        <v>101</v>
      </c>
      <c r="C14" s="13">
        <v>100</v>
      </c>
      <c r="D14" s="13">
        <v>99.6</v>
      </c>
      <c r="E14" s="10" t="s">
        <v>192</v>
      </c>
      <c r="F14" s="17">
        <f t="shared" si="0"/>
        <v>-0.20000000000000284</v>
      </c>
      <c r="G14" s="18">
        <f t="shared" si="1"/>
        <v>0.5</v>
      </c>
      <c r="H14" s="14">
        <v>2.88</v>
      </c>
      <c r="J14" s="19">
        <v>99.8</v>
      </c>
    </row>
    <row r="15" spans="1:10" x14ac:dyDescent="0.35">
      <c r="A15" s="11" t="s">
        <v>129</v>
      </c>
      <c r="B15" s="10" t="s">
        <v>93</v>
      </c>
      <c r="C15" s="13">
        <v>95.5</v>
      </c>
      <c r="D15" s="13">
        <v>90.8</v>
      </c>
      <c r="E15" s="10" t="s">
        <v>193</v>
      </c>
      <c r="F15" s="17">
        <f t="shared" si="0"/>
        <v>-3.5</v>
      </c>
      <c r="G15" s="18">
        <f t="shared" si="1"/>
        <v>0.25531914893617064</v>
      </c>
      <c r="H15" s="14">
        <v>3.07</v>
      </c>
      <c r="J15" s="19">
        <v>92</v>
      </c>
    </row>
    <row r="16" spans="1:10" x14ac:dyDescent="0.35">
      <c r="A16" s="11" t="s">
        <v>129</v>
      </c>
      <c r="B16" s="10" t="s">
        <v>101</v>
      </c>
      <c r="C16" s="13">
        <v>95.3</v>
      </c>
      <c r="D16" s="13">
        <v>89.6</v>
      </c>
      <c r="E16" s="10" t="s">
        <v>194</v>
      </c>
      <c r="F16" s="17">
        <f t="shared" si="0"/>
        <v>-4.0999999999999943</v>
      </c>
      <c r="G16" s="18">
        <f t="shared" si="1"/>
        <v>0.28070175438596628</v>
      </c>
      <c r="H16" s="14">
        <v>3.59</v>
      </c>
      <c r="J16" s="19">
        <v>91.2</v>
      </c>
    </row>
    <row r="17" spans="1:10" x14ac:dyDescent="0.35">
      <c r="A17" s="11" t="s">
        <v>142</v>
      </c>
      <c r="B17" s="10" t="s">
        <v>93</v>
      </c>
      <c r="C17" s="13">
        <v>98.4</v>
      </c>
      <c r="D17" s="13">
        <v>95.2</v>
      </c>
      <c r="E17" s="10" t="s">
        <v>195</v>
      </c>
      <c r="F17" s="17">
        <f t="shared" si="0"/>
        <v>-1.9000000000000057</v>
      </c>
      <c r="G17" s="18">
        <f t="shared" si="1"/>
        <v>0.40624999999999878</v>
      </c>
      <c r="H17" s="14">
        <v>3.63</v>
      </c>
      <c r="J17" s="19">
        <v>96.5</v>
      </c>
    </row>
    <row r="18" spans="1:10" x14ac:dyDescent="0.35">
      <c r="A18" s="11" t="s">
        <v>142</v>
      </c>
      <c r="B18" s="10" t="s">
        <v>101</v>
      </c>
      <c r="C18" s="13">
        <v>99.2</v>
      </c>
      <c r="D18" s="13">
        <v>92.8</v>
      </c>
      <c r="E18" s="10" t="s">
        <v>196</v>
      </c>
      <c r="F18" s="17">
        <f t="shared" si="0"/>
        <v>-3.5</v>
      </c>
      <c r="G18" s="18">
        <f t="shared" si="1"/>
        <v>0.4531250000000005</v>
      </c>
      <c r="H18" s="14">
        <v>2.87</v>
      </c>
      <c r="J18" s="19">
        <v>95.7</v>
      </c>
    </row>
    <row r="19" spans="1:10" x14ac:dyDescent="0.35">
      <c r="A19" s="3" t="s">
        <v>180</v>
      </c>
      <c r="B19" s="3"/>
      <c r="C19" s="3"/>
      <c r="D19" s="3"/>
      <c r="E19" s="3"/>
      <c r="F19" s="3"/>
      <c r="G19" s="3"/>
    </row>
    <row r="20" spans="1:10" ht="15" customHeight="1" x14ac:dyDescent="0.35">
      <c r="A20" s="2" t="s">
        <v>155</v>
      </c>
      <c r="B20" s="2"/>
      <c r="C20" s="2"/>
      <c r="D20" s="2"/>
      <c r="E20" s="2"/>
      <c r="F20" s="2"/>
      <c r="G20" s="2"/>
      <c r="H20" s="2"/>
    </row>
  </sheetData>
  <mergeCells count="5">
    <mergeCell ref="B4:G4"/>
    <mergeCell ref="B5:G5"/>
    <mergeCell ref="B6:G6"/>
    <mergeCell ref="A19:G19"/>
    <mergeCell ref="A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showGridLines="0" topLeftCell="A4" zoomScaleNormal="100" workbookViewId="0">
      <selection activeCell="I9" sqref="I9"/>
    </sheetView>
  </sheetViews>
  <sheetFormatPr defaultColWidth="8.6328125" defaultRowHeight="14.5" x14ac:dyDescent="0.35"/>
  <cols>
    <col min="1" max="1" width="15" customWidth="1"/>
    <col min="2" max="2" width="8" customWidth="1"/>
    <col min="3" max="7" width="17" customWidth="1"/>
    <col min="9" max="9" width="11" customWidth="1"/>
  </cols>
  <sheetData>
    <row r="1" spans="1:9" ht="18" x14ac:dyDescent="0.4">
      <c r="A1" s="5" t="s">
        <v>197</v>
      </c>
    </row>
    <row r="2" spans="1:9" x14ac:dyDescent="0.35">
      <c r="A2" s="6" t="s">
        <v>198</v>
      </c>
    </row>
    <row r="4" spans="1:9" ht="23.9" customHeight="1" x14ac:dyDescent="0.35">
      <c r="A4" s="16" t="s">
        <v>160</v>
      </c>
      <c r="B4" s="1" t="s">
        <v>199</v>
      </c>
      <c r="C4" s="1"/>
      <c r="D4" s="1"/>
      <c r="E4" s="1"/>
      <c r="F4" s="1"/>
      <c r="G4" s="1"/>
    </row>
    <row r="5" spans="1:9" ht="35" customHeight="1" x14ac:dyDescent="0.35">
      <c r="A5" s="16" t="s">
        <v>162</v>
      </c>
      <c r="B5" s="1" t="s">
        <v>200</v>
      </c>
      <c r="C5" s="1"/>
      <c r="D5" s="1"/>
      <c r="E5" s="1"/>
      <c r="F5" s="1"/>
      <c r="G5" s="1"/>
    </row>
    <row r="6" spans="1:9" ht="23.9" customHeight="1" x14ac:dyDescent="0.35">
      <c r="A6" s="16" t="s">
        <v>164</v>
      </c>
      <c r="B6" s="1" t="s">
        <v>201</v>
      </c>
      <c r="C6" s="1"/>
      <c r="D6" s="1"/>
      <c r="E6" s="1"/>
      <c r="F6" s="1"/>
      <c r="G6" s="1"/>
    </row>
    <row r="8" spans="1:9" x14ac:dyDescent="0.35">
      <c r="A8" s="7" t="s">
        <v>82</v>
      </c>
      <c r="B8" s="7" t="s">
        <v>83</v>
      </c>
      <c r="C8" s="7" t="s">
        <v>166</v>
      </c>
      <c r="D8" s="7" t="s">
        <v>167</v>
      </c>
      <c r="E8" s="7" t="s">
        <v>168</v>
      </c>
      <c r="F8" s="7" t="s">
        <v>169</v>
      </c>
      <c r="G8" s="7" t="s">
        <v>170</v>
      </c>
    </row>
    <row r="9" spans="1:9" x14ac:dyDescent="0.35">
      <c r="A9" s="11" t="s">
        <v>92</v>
      </c>
      <c r="B9" s="10" t="s">
        <v>93</v>
      </c>
      <c r="C9" s="13">
        <v>89.9</v>
      </c>
      <c r="D9" s="13">
        <v>86.8</v>
      </c>
      <c r="E9" s="10" t="s">
        <v>202</v>
      </c>
      <c r="F9" s="17">
        <f t="shared" ref="F9:F18" si="0">I9-C9</f>
        <v>-0.80000000000001137</v>
      </c>
      <c r="G9" s="18">
        <f t="shared" ref="G9:G18" si="1">IF((C9-D9)=0,"",(I9-D9)/(C9-D9))</f>
        <v>0.74193548387096475</v>
      </c>
      <c r="I9" s="19">
        <v>89.1</v>
      </c>
    </row>
    <row r="10" spans="1:9" x14ac:dyDescent="0.35">
      <c r="A10" s="11" t="s">
        <v>92</v>
      </c>
      <c r="B10" s="10" t="s">
        <v>101</v>
      </c>
      <c r="C10" s="13">
        <v>89.6</v>
      </c>
      <c r="D10" s="13">
        <v>87.1</v>
      </c>
      <c r="E10" s="10" t="s">
        <v>203</v>
      </c>
      <c r="F10" s="17">
        <f t="shared" si="0"/>
        <v>-0.39999999999999147</v>
      </c>
      <c r="G10" s="18">
        <f t="shared" si="1"/>
        <v>0.84000000000000341</v>
      </c>
      <c r="I10" s="19">
        <v>89.2</v>
      </c>
    </row>
    <row r="11" spans="1:9" x14ac:dyDescent="0.35">
      <c r="A11" s="11" t="s">
        <v>108</v>
      </c>
      <c r="B11" s="10" t="s">
        <v>93</v>
      </c>
      <c r="C11" s="13">
        <v>96.1</v>
      </c>
      <c r="D11" s="13">
        <v>90.7</v>
      </c>
      <c r="E11" s="10" t="s">
        <v>204</v>
      </c>
      <c r="F11" s="17">
        <f t="shared" si="0"/>
        <v>-1.5</v>
      </c>
      <c r="G11" s="18">
        <f t="shared" si="1"/>
        <v>0.72222222222222177</v>
      </c>
      <c r="I11" s="19">
        <v>94.6</v>
      </c>
    </row>
    <row r="12" spans="1:9" x14ac:dyDescent="0.35">
      <c r="A12" s="11" t="s">
        <v>108</v>
      </c>
      <c r="B12" s="10" t="s">
        <v>101</v>
      </c>
      <c r="C12" s="13">
        <v>93.9</v>
      </c>
      <c r="D12" s="13">
        <v>89</v>
      </c>
      <c r="E12" s="10" t="s">
        <v>205</v>
      </c>
      <c r="F12" s="17">
        <f t="shared" si="0"/>
        <v>-0.90000000000000568</v>
      </c>
      <c r="G12" s="18">
        <f t="shared" si="1"/>
        <v>0.81632653061224392</v>
      </c>
      <c r="I12" s="19">
        <v>93</v>
      </c>
    </row>
    <row r="13" spans="1:9" x14ac:dyDescent="0.35">
      <c r="A13" s="11" t="s">
        <v>121</v>
      </c>
      <c r="B13" s="10" t="s">
        <v>93</v>
      </c>
      <c r="C13" s="13">
        <v>100</v>
      </c>
      <c r="D13" s="13">
        <v>99.2</v>
      </c>
      <c r="E13" s="10" t="s">
        <v>206</v>
      </c>
      <c r="F13" s="17">
        <f t="shared" si="0"/>
        <v>-9.9999999999994316E-2</v>
      </c>
      <c r="G13" s="18">
        <f t="shared" si="1"/>
        <v>0.87500000000000666</v>
      </c>
      <c r="I13" s="19">
        <v>99.9</v>
      </c>
    </row>
    <row r="14" spans="1:9" x14ac:dyDescent="0.35">
      <c r="A14" s="11" t="s">
        <v>121</v>
      </c>
      <c r="B14" s="10" t="s">
        <v>101</v>
      </c>
      <c r="C14" s="13">
        <v>100</v>
      </c>
      <c r="D14" s="13">
        <v>99.6</v>
      </c>
      <c r="E14" s="10" t="s">
        <v>207</v>
      </c>
      <c r="F14" s="17">
        <f t="shared" si="0"/>
        <v>-0.29999999999999716</v>
      </c>
      <c r="G14" s="18">
        <f t="shared" si="1"/>
        <v>0.25000000000001776</v>
      </c>
      <c r="I14" s="19">
        <v>99.7</v>
      </c>
    </row>
    <row r="15" spans="1:9" x14ac:dyDescent="0.35">
      <c r="A15" s="11" t="s">
        <v>129</v>
      </c>
      <c r="B15" s="10" t="s">
        <v>93</v>
      </c>
      <c r="C15" s="13">
        <v>95.5</v>
      </c>
      <c r="D15" s="13">
        <v>90.8</v>
      </c>
      <c r="E15" s="10" t="s">
        <v>208</v>
      </c>
      <c r="F15" s="17">
        <f t="shared" si="0"/>
        <v>-1</v>
      </c>
      <c r="G15" s="18">
        <f t="shared" si="1"/>
        <v>0.78723404255319163</v>
      </c>
      <c r="I15" s="19">
        <v>94.5</v>
      </c>
    </row>
    <row r="16" spans="1:9" x14ac:dyDescent="0.35">
      <c r="A16" s="11" t="s">
        <v>129</v>
      </c>
      <c r="B16" s="10" t="s">
        <v>101</v>
      </c>
      <c r="C16" s="13">
        <v>95.3</v>
      </c>
      <c r="D16" s="13">
        <v>89.6</v>
      </c>
      <c r="E16" s="10" t="s">
        <v>209</v>
      </c>
      <c r="F16" s="17">
        <f t="shared" si="0"/>
        <v>-1</v>
      </c>
      <c r="G16" s="18">
        <f t="shared" si="1"/>
        <v>0.82456140350877205</v>
      </c>
      <c r="I16" s="19">
        <v>94.3</v>
      </c>
    </row>
    <row r="17" spans="1:9" x14ac:dyDescent="0.35">
      <c r="A17" s="11" t="s">
        <v>142</v>
      </c>
      <c r="B17" s="10" t="s">
        <v>93</v>
      </c>
      <c r="C17" s="13">
        <v>98.4</v>
      </c>
      <c r="D17" s="13">
        <v>95.2</v>
      </c>
      <c r="E17" s="10" t="s">
        <v>210</v>
      </c>
      <c r="F17" s="17">
        <f t="shared" si="0"/>
        <v>-0.40000000000000568</v>
      </c>
      <c r="G17" s="18">
        <f t="shared" si="1"/>
        <v>0.87499999999999833</v>
      </c>
      <c r="I17" s="19">
        <v>98</v>
      </c>
    </row>
    <row r="18" spans="1:9" x14ac:dyDescent="0.35">
      <c r="A18" s="11" t="s">
        <v>142</v>
      </c>
      <c r="B18" s="10" t="s">
        <v>101</v>
      </c>
      <c r="C18" s="13">
        <v>99.2</v>
      </c>
      <c r="D18" s="13">
        <v>92.8</v>
      </c>
      <c r="E18" s="10" t="s">
        <v>211</v>
      </c>
      <c r="F18" s="17">
        <f t="shared" si="0"/>
        <v>-1.5</v>
      </c>
      <c r="G18" s="18">
        <f t="shared" si="1"/>
        <v>0.76562500000000022</v>
      </c>
      <c r="I18" s="19">
        <v>97.7</v>
      </c>
    </row>
    <row r="19" spans="1:9" x14ac:dyDescent="0.35">
      <c r="A19" s="3" t="s">
        <v>180</v>
      </c>
      <c r="B19" s="3"/>
      <c r="C19" s="3"/>
      <c r="D19" s="3"/>
      <c r="E19" s="3"/>
      <c r="F19" s="3"/>
      <c r="G19" s="3"/>
    </row>
    <row r="20" spans="1:9" ht="22.4" customHeight="1" x14ac:dyDescent="0.35">
      <c r="A20" s="2" t="s">
        <v>155</v>
      </c>
      <c r="B20" s="2"/>
      <c r="C20" s="2"/>
      <c r="D20" s="2"/>
      <c r="E20" s="2"/>
      <c r="F20" s="2"/>
      <c r="G20" s="2"/>
    </row>
  </sheetData>
  <mergeCells count="5">
    <mergeCell ref="B4:G4"/>
    <mergeCell ref="B5:G5"/>
    <mergeCell ref="B6:G6"/>
    <mergeCell ref="A19:G19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showGridLines="0" topLeftCell="A2" zoomScaleNormal="100" workbookViewId="0"/>
  </sheetViews>
  <sheetFormatPr defaultColWidth="8.6328125" defaultRowHeight="14.5" x14ac:dyDescent="0.35"/>
  <cols>
    <col min="1" max="1" width="15" customWidth="1"/>
    <col min="2" max="2" width="8" customWidth="1"/>
    <col min="3" max="7" width="17" customWidth="1"/>
    <col min="9" max="9" width="11" customWidth="1"/>
  </cols>
  <sheetData>
    <row r="1" spans="1:9" ht="18" x14ac:dyDescent="0.4">
      <c r="A1" s="5" t="s">
        <v>212</v>
      </c>
    </row>
    <row r="2" spans="1:9" x14ac:dyDescent="0.35">
      <c r="A2" s="6" t="s">
        <v>213</v>
      </c>
    </row>
    <row r="4" spans="1:9" ht="23.9" customHeight="1" x14ac:dyDescent="0.35">
      <c r="A4" s="16" t="s">
        <v>160</v>
      </c>
      <c r="B4" s="1" t="s">
        <v>214</v>
      </c>
      <c r="C4" s="1"/>
      <c r="D4" s="1"/>
      <c r="E4" s="1"/>
      <c r="F4" s="1"/>
      <c r="G4" s="1"/>
    </row>
    <row r="5" spans="1:9" ht="35" customHeight="1" x14ac:dyDescent="0.35">
      <c r="A5" s="16" t="s">
        <v>162</v>
      </c>
      <c r="B5" s="1" t="s">
        <v>215</v>
      </c>
      <c r="C5" s="1"/>
      <c r="D5" s="1"/>
      <c r="E5" s="1"/>
      <c r="F5" s="1"/>
      <c r="G5" s="1"/>
    </row>
    <row r="6" spans="1:9" ht="23.9" customHeight="1" x14ac:dyDescent="0.35">
      <c r="A6" s="16" t="s">
        <v>164</v>
      </c>
      <c r="B6" s="1" t="s">
        <v>216</v>
      </c>
      <c r="C6" s="1"/>
      <c r="D6" s="1"/>
      <c r="E6" s="1"/>
      <c r="F6" s="1"/>
      <c r="G6" s="1"/>
    </row>
    <row r="8" spans="1:9" x14ac:dyDescent="0.35">
      <c r="A8" s="7" t="s">
        <v>82</v>
      </c>
      <c r="B8" s="7" t="s">
        <v>83</v>
      </c>
      <c r="C8" s="7" t="s">
        <v>166</v>
      </c>
      <c r="D8" s="7" t="s">
        <v>167</v>
      </c>
      <c r="E8" s="7" t="s">
        <v>168</v>
      </c>
      <c r="F8" s="7" t="s">
        <v>169</v>
      </c>
      <c r="G8" s="7" t="s">
        <v>170</v>
      </c>
    </row>
    <row r="9" spans="1:9" x14ac:dyDescent="0.35">
      <c r="A9" s="11" t="s">
        <v>92</v>
      </c>
      <c r="B9" s="10" t="s">
        <v>93</v>
      </c>
      <c r="C9" s="13">
        <v>89.9</v>
      </c>
      <c r="D9" s="13">
        <v>86.8</v>
      </c>
      <c r="E9" s="10" t="s">
        <v>217</v>
      </c>
      <c r="F9" s="17">
        <f t="shared" ref="F9:F18" si="0">I9-C9</f>
        <v>-0.20000000000000284</v>
      </c>
      <c r="G9" s="18">
        <f t="shared" ref="G9:G18" si="1">IF((C9-D9)=0,"",(I9-D9)/(C9-D9))</f>
        <v>0.93548387096774122</v>
      </c>
      <c r="I9" s="19">
        <v>89.7</v>
      </c>
    </row>
    <row r="10" spans="1:9" x14ac:dyDescent="0.35">
      <c r="A10" s="11" t="s">
        <v>92</v>
      </c>
      <c r="B10" s="10" t="s">
        <v>101</v>
      </c>
      <c r="C10" s="13">
        <v>89.6</v>
      </c>
      <c r="D10" s="13">
        <v>87.1</v>
      </c>
      <c r="E10" s="10" t="s">
        <v>218</v>
      </c>
      <c r="F10" s="17">
        <f t="shared" si="0"/>
        <v>-9.9999999999994316E-2</v>
      </c>
      <c r="G10" s="18">
        <f t="shared" si="1"/>
        <v>0.9600000000000023</v>
      </c>
      <c r="I10" s="19">
        <v>89.5</v>
      </c>
    </row>
    <row r="11" spans="1:9" x14ac:dyDescent="0.35">
      <c r="A11" s="11" t="s">
        <v>108</v>
      </c>
      <c r="B11" s="10" t="s">
        <v>93</v>
      </c>
      <c r="C11" s="13">
        <v>96.1</v>
      </c>
      <c r="D11" s="13">
        <v>90.7</v>
      </c>
      <c r="E11" s="10" t="s">
        <v>219</v>
      </c>
      <c r="F11" s="17">
        <f t="shared" si="0"/>
        <v>-0.69999999999998863</v>
      </c>
      <c r="G11" s="18">
        <f t="shared" si="1"/>
        <v>0.87037037037037224</v>
      </c>
      <c r="I11" s="19">
        <v>95.4</v>
      </c>
    </row>
    <row r="12" spans="1:9" x14ac:dyDescent="0.35">
      <c r="A12" s="11" t="s">
        <v>108</v>
      </c>
      <c r="B12" s="10" t="s">
        <v>101</v>
      </c>
      <c r="C12" s="13">
        <v>93.9</v>
      </c>
      <c r="D12" s="13">
        <v>89</v>
      </c>
      <c r="E12" s="10" t="s">
        <v>220</v>
      </c>
      <c r="F12" s="17">
        <f t="shared" si="0"/>
        <v>-0.80000000000001137</v>
      </c>
      <c r="G12" s="18">
        <f t="shared" si="1"/>
        <v>0.83673469387754884</v>
      </c>
      <c r="I12" s="19">
        <v>93.1</v>
      </c>
    </row>
    <row r="13" spans="1:9" x14ac:dyDescent="0.35">
      <c r="A13" s="11" t="s">
        <v>121</v>
      </c>
      <c r="B13" s="10" t="s">
        <v>93</v>
      </c>
      <c r="C13" s="13">
        <v>100</v>
      </c>
      <c r="D13" s="13">
        <v>99.2</v>
      </c>
      <c r="E13" s="10" t="s">
        <v>206</v>
      </c>
      <c r="F13" s="17">
        <f t="shared" si="0"/>
        <v>-9.9999999999994316E-2</v>
      </c>
      <c r="G13" s="18">
        <f t="shared" si="1"/>
        <v>0.87500000000000666</v>
      </c>
      <c r="I13" s="19">
        <v>99.9</v>
      </c>
    </row>
    <row r="14" spans="1:9" x14ac:dyDescent="0.35">
      <c r="A14" s="11" t="s">
        <v>121</v>
      </c>
      <c r="B14" s="10" t="s">
        <v>101</v>
      </c>
      <c r="C14" s="13">
        <v>100</v>
      </c>
      <c r="D14" s="13">
        <v>99.6</v>
      </c>
      <c r="E14" s="10" t="s">
        <v>221</v>
      </c>
      <c r="F14" s="17">
        <f t="shared" si="0"/>
        <v>-9.9999999999994316E-2</v>
      </c>
      <c r="G14" s="18">
        <f t="shared" si="1"/>
        <v>0.75000000000001776</v>
      </c>
      <c r="I14" s="19">
        <v>99.9</v>
      </c>
    </row>
    <row r="15" spans="1:9" x14ac:dyDescent="0.35">
      <c r="A15" s="11" t="s">
        <v>129</v>
      </c>
      <c r="B15" s="10" t="s">
        <v>93</v>
      </c>
      <c r="C15" s="13">
        <v>95.5</v>
      </c>
      <c r="D15" s="13">
        <v>90.8</v>
      </c>
      <c r="E15" s="10" t="s">
        <v>222</v>
      </c>
      <c r="F15" s="17">
        <f t="shared" si="0"/>
        <v>-0.5</v>
      </c>
      <c r="G15" s="18">
        <f t="shared" si="1"/>
        <v>0.89361702127659581</v>
      </c>
      <c r="I15" s="19">
        <v>95</v>
      </c>
    </row>
    <row r="16" spans="1:9" x14ac:dyDescent="0.35">
      <c r="A16" s="11" t="s">
        <v>129</v>
      </c>
      <c r="B16" s="10" t="s">
        <v>101</v>
      </c>
      <c r="C16" s="13">
        <v>95.3</v>
      </c>
      <c r="D16" s="13">
        <v>89.6</v>
      </c>
      <c r="E16" s="10" t="s">
        <v>223</v>
      </c>
      <c r="F16" s="17">
        <f t="shared" si="0"/>
        <v>-1.0999999999999943</v>
      </c>
      <c r="G16" s="18">
        <f t="shared" si="1"/>
        <v>0.80701754385965019</v>
      </c>
      <c r="I16" s="19">
        <v>94.2</v>
      </c>
    </row>
    <row r="17" spans="1:9" x14ac:dyDescent="0.35">
      <c r="A17" s="11" t="s">
        <v>142</v>
      </c>
      <c r="B17" s="10" t="s">
        <v>93</v>
      </c>
      <c r="C17" s="13">
        <v>98.4</v>
      </c>
      <c r="D17" s="13">
        <v>95.2</v>
      </c>
      <c r="E17" s="10" t="s">
        <v>224</v>
      </c>
      <c r="F17" s="17">
        <f t="shared" si="0"/>
        <v>-0.20000000000000284</v>
      </c>
      <c r="G17" s="18">
        <f t="shared" si="1"/>
        <v>0.93749999999999911</v>
      </c>
      <c r="I17" s="19">
        <v>98.2</v>
      </c>
    </row>
    <row r="18" spans="1:9" x14ac:dyDescent="0.35">
      <c r="A18" s="11" t="s">
        <v>142</v>
      </c>
      <c r="B18" s="10" t="s">
        <v>101</v>
      </c>
      <c r="C18" s="13">
        <v>99.2</v>
      </c>
      <c r="D18" s="13">
        <v>92.8</v>
      </c>
      <c r="E18" s="10" t="s">
        <v>225</v>
      </c>
      <c r="F18" s="17">
        <f t="shared" si="0"/>
        <v>-0.90000000000000568</v>
      </c>
      <c r="G18" s="18">
        <f t="shared" si="1"/>
        <v>0.85937499999999922</v>
      </c>
      <c r="I18" s="19">
        <v>98.3</v>
      </c>
    </row>
    <row r="19" spans="1:9" x14ac:dyDescent="0.35">
      <c r="A19" s="3" t="s">
        <v>180</v>
      </c>
      <c r="B19" s="3"/>
      <c r="C19" s="3"/>
      <c r="D19" s="3"/>
      <c r="E19" s="3"/>
      <c r="F19" s="3"/>
      <c r="G19" s="3"/>
    </row>
    <row r="20" spans="1:9" ht="22.4" customHeight="1" x14ac:dyDescent="0.35">
      <c r="A20" s="2" t="s">
        <v>155</v>
      </c>
      <c r="B20" s="2"/>
      <c r="C20" s="2"/>
      <c r="D20" s="2"/>
      <c r="E20" s="2"/>
      <c r="F20" s="2"/>
      <c r="G20" s="2"/>
    </row>
  </sheetData>
  <mergeCells count="5">
    <mergeCell ref="B4:G4"/>
    <mergeCell ref="B5:G5"/>
    <mergeCell ref="B6:G6"/>
    <mergeCell ref="A19:G19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showGridLines="0" zoomScaleNormal="100" workbookViewId="0"/>
  </sheetViews>
  <sheetFormatPr defaultColWidth="8.6328125" defaultRowHeight="14.5" x14ac:dyDescent="0.35"/>
  <cols>
    <col min="1" max="1" width="15" customWidth="1"/>
    <col min="2" max="2" width="8" customWidth="1"/>
    <col min="3" max="7" width="17" customWidth="1"/>
    <col min="10" max="10" width="11" customWidth="1"/>
  </cols>
  <sheetData>
    <row r="1" spans="1:10" ht="18" x14ac:dyDescent="0.4">
      <c r="A1" s="5" t="s">
        <v>226</v>
      </c>
    </row>
    <row r="2" spans="1:10" x14ac:dyDescent="0.35">
      <c r="A2" s="6" t="s">
        <v>227</v>
      </c>
    </row>
    <row r="4" spans="1:10" ht="23.9" customHeight="1" x14ac:dyDescent="0.35">
      <c r="A4" s="16" t="s">
        <v>160</v>
      </c>
      <c r="B4" s="1" t="s">
        <v>228</v>
      </c>
      <c r="C4" s="1"/>
      <c r="D4" s="1"/>
      <c r="E4" s="1"/>
      <c r="F4" s="1"/>
      <c r="G4" s="1"/>
    </row>
    <row r="5" spans="1:10" ht="35" customHeight="1" x14ac:dyDescent="0.35">
      <c r="A5" s="16" t="s">
        <v>162</v>
      </c>
      <c r="B5" s="1" t="s">
        <v>229</v>
      </c>
      <c r="C5" s="1"/>
      <c r="D5" s="1"/>
      <c r="E5" s="1"/>
      <c r="F5" s="1"/>
      <c r="G5" s="1"/>
    </row>
    <row r="6" spans="1:10" ht="23.9" customHeight="1" x14ac:dyDescent="0.35">
      <c r="A6" s="16" t="s">
        <v>164</v>
      </c>
      <c r="B6" s="1" t="s">
        <v>230</v>
      </c>
      <c r="C6" s="1"/>
      <c r="D6" s="1"/>
      <c r="E6" s="1"/>
      <c r="F6" s="1"/>
      <c r="G6" s="1"/>
    </row>
    <row r="8" spans="1:10" x14ac:dyDescent="0.35">
      <c r="A8" s="7" t="s">
        <v>82</v>
      </c>
      <c r="B8" s="7" t="s">
        <v>83</v>
      </c>
      <c r="C8" s="7" t="s">
        <v>166</v>
      </c>
      <c r="D8" s="7" t="s">
        <v>167</v>
      </c>
      <c r="E8" s="7" t="s">
        <v>168</v>
      </c>
      <c r="F8" s="7" t="s">
        <v>169</v>
      </c>
      <c r="G8" s="7" t="s">
        <v>170</v>
      </c>
      <c r="H8" s="7" t="s">
        <v>231</v>
      </c>
    </row>
    <row r="9" spans="1:10" x14ac:dyDescent="0.35">
      <c r="A9" s="11" t="s">
        <v>92</v>
      </c>
      <c r="B9" s="10" t="s">
        <v>93</v>
      </c>
      <c r="C9" s="13">
        <v>89.9</v>
      </c>
      <c r="D9" s="13">
        <v>86.8</v>
      </c>
      <c r="E9" s="10" t="s">
        <v>232</v>
      </c>
      <c r="F9" s="17">
        <f t="shared" ref="F9:F18" si="0">J9-C9</f>
        <v>-1.1000000000000085</v>
      </c>
      <c r="G9" s="18">
        <f t="shared" ref="G9:G18" si="1">IF((C9-D9)=0,"",(J9-D9)/(C9-D9))</f>
        <v>0.64516129032257885</v>
      </c>
      <c r="H9" s="20">
        <v>29.4</v>
      </c>
      <c r="J9" s="19">
        <v>88.8</v>
      </c>
    </row>
    <row r="10" spans="1:10" x14ac:dyDescent="0.35">
      <c r="A10" s="11" t="s">
        <v>92</v>
      </c>
      <c r="B10" s="10" t="s">
        <v>101</v>
      </c>
      <c r="C10" s="13">
        <v>89.6</v>
      </c>
      <c r="D10" s="13">
        <v>87.1</v>
      </c>
      <c r="E10" s="10" t="s">
        <v>233</v>
      </c>
      <c r="F10" s="17">
        <f t="shared" si="0"/>
        <v>-0.5</v>
      </c>
      <c r="G10" s="18">
        <f t="shared" si="1"/>
        <v>0.8</v>
      </c>
      <c r="H10" s="20">
        <v>27.3</v>
      </c>
      <c r="J10" s="19">
        <v>89.1</v>
      </c>
    </row>
    <row r="11" spans="1:10" x14ac:dyDescent="0.35">
      <c r="A11" s="11" t="s">
        <v>108</v>
      </c>
      <c r="B11" s="10" t="s">
        <v>93</v>
      </c>
      <c r="C11" s="13">
        <v>96.1</v>
      </c>
      <c r="D11" s="13">
        <v>90.7</v>
      </c>
      <c r="E11" s="10" t="s">
        <v>234</v>
      </c>
      <c r="F11" s="17">
        <f t="shared" si="0"/>
        <v>-1.6999999999999886</v>
      </c>
      <c r="G11" s="18">
        <f t="shared" si="1"/>
        <v>0.68518518518518678</v>
      </c>
      <c r="H11" s="20">
        <v>27.4</v>
      </c>
      <c r="J11" s="19">
        <v>94.4</v>
      </c>
    </row>
    <row r="12" spans="1:10" x14ac:dyDescent="0.35">
      <c r="A12" s="11" t="s">
        <v>108</v>
      </c>
      <c r="B12" s="10" t="s">
        <v>101</v>
      </c>
      <c r="C12" s="13">
        <v>93.9</v>
      </c>
      <c r="D12" s="13">
        <v>89</v>
      </c>
      <c r="E12" s="10" t="s">
        <v>235</v>
      </c>
      <c r="F12" s="17">
        <f t="shared" si="0"/>
        <v>-1.9000000000000057</v>
      </c>
      <c r="G12" s="18">
        <f t="shared" si="1"/>
        <v>0.61224489795918291</v>
      </c>
      <c r="H12" s="20">
        <v>29.1</v>
      </c>
      <c r="J12" s="19">
        <v>92</v>
      </c>
    </row>
    <row r="13" spans="1:10" x14ac:dyDescent="0.35">
      <c r="A13" s="11" t="s">
        <v>121</v>
      </c>
      <c r="B13" s="10" t="s">
        <v>93</v>
      </c>
      <c r="C13" s="13">
        <v>100</v>
      </c>
      <c r="D13" s="13">
        <v>99.2</v>
      </c>
      <c r="E13" s="10" t="s">
        <v>206</v>
      </c>
      <c r="F13" s="17">
        <f t="shared" si="0"/>
        <v>-9.9999999999994316E-2</v>
      </c>
      <c r="G13" s="18">
        <f t="shared" si="1"/>
        <v>0.87500000000000666</v>
      </c>
      <c r="H13" s="20">
        <v>31.1</v>
      </c>
      <c r="J13" s="19">
        <v>99.9</v>
      </c>
    </row>
    <row r="14" spans="1:10" x14ac:dyDescent="0.35">
      <c r="A14" s="11" t="s">
        <v>121</v>
      </c>
      <c r="B14" s="10" t="s">
        <v>101</v>
      </c>
      <c r="C14" s="13">
        <v>100</v>
      </c>
      <c r="D14" s="13">
        <v>99.6</v>
      </c>
      <c r="E14" s="10" t="s">
        <v>191</v>
      </c>
      <c r="F14" s="17">
        <f t="shared" si="0"/>
        <v>-9.9999999999994316E-2</v>
      </c>
      <c r="G14" s="18">
        <f t="shared" si="1"/>
        <v>0.75000000000001776</v>
      </c>
      <c r="H14" s="20">
        <v>22</v>
      </c>
      <c r="J14" s="19">
        <v>99.9</v>
      </c>
    </row>
    <row r="15" spans="1:10" x14ac:dyDescent="0.35">
      <c r="A15" s="11" t="s">
        <v>129</v>
      </c>
      <c r="B15" s="10" t="s">
        <v>93</v>
      </c>
      <c r="C15" s="13">
        <v>95.5</v>
      </c>
      <c r="D15" s="13">
        <v>90.8</v>
      </c>
      <c r="E15" s="10" t="s">
        <v>236</v>
      </c>
      <c r="F15" s="17">
        <f t="shared" si="0"/>
        <v>-1.7000000000000028</v>
      </c>
      <c r="G15" s="18">
        <f t="shared" si="1"/>
        <v>0.63829787234042512</v>
      </c>
      <c r="H15" s="20">
        <v>34.5</v>
      </c>
      <c r="J15" s="19">
        <v>93.8</v>
      </c>
    </row>
    <row r="16" spans="1:10" x14ac:dyDescent="0.35">
      <c r="A16" s="11" t="s">
        <v>129</v>
      </c>
      <c r="B16" s="10" t="s">
        <v>101</v>
      </c>
      <c r="C16" s="13">
        <v>95.3</v>
      </c>
      <c r="D16" s="13">
        <v>89.6</v>
      </c>
      <c r="E16" s="10" t="s">
        <v>237</v>
      </c>
      <c r="F16" s="17">
        <f t="shared" si="0"/>
        <v>-1.7999999999999972</v>
      </c>
      <c r="G16" s="18">
        <f t="shared" si="1"/>
        <v>0.68421052631579016</v>
      </c>
      <c r="H16" s="20">
        <v>27.6</v>
      </c>
      <c r="J16" s="19">
        <v>93.5</v>
      </c>
    </row>
    <row r="17" spans="1:10" x14ac:dyDescent="0.35">
      <c r="A17" s="11" t="s">
        <v>142</v>
      </c>
      <c r="B17" s="10" t="s">
        <v>93</v>
      </c>
      <c r="C17" s="13">
        <v>98.4</v>
      </c>
      <c r="D17" s="13">
        <v>95.2</v>
      </c>
      <c r="E17" s="10" t="s">
        <v>238</v>
      </c>
      <c r="F17" s="17">
        <f t="shared" si="0"/>
        <v>-0.60000000000000853</v>
      </c>
      <c r="G17" s="18">
        <f t="shared" si="1"/>
        <v>0.81249999999999756</v>
      </c>
      <c r="H17" s="20">
        <v>23.9</v>
      </c>
      <c r="J17" s="19">
        <v>97.8</v>
      </c>
    </row>
    <row r="18" spans="1:10" x14ac:dyDescent="0.35">
      <c r="A18" s="11" t="s">
        <v>142</v>
      </c>
      <c r="B18" s="10" t="s">
        <v>101</v>
      </c>
      <c r="C18" s="13">
        <v>99.2</v>
      </c>
      <c r="D18" s="13">
        <v>92.8</v>
      </c>
      <c r="E18" s="10" t="s">
        <v>239</v>
      </c>
      <c r="F18" s="17">
        <f t="shared" si="0"/>
        <v>-1.9000000000000057</v>
      </c>
      <c r="G18" s="18">
        <f t="shared" si="1"/>
        <v>0.70312499999999933</v>
      </c>
      <c r="H18" s="20">
        <v>34</v>
      </c>
      <c r="J18" s="19">
        <v>97.3</v>
      </c>
    </row>
    <row r="19" spans="1:10" x14ac:dyDescent="0.35">
      <c r="A19" s="3" t="s">
        <v>180</v>
      </c>
      <c r="B19" s="3"/>
      <c r="C19" s="3"/>
      <c r="D19" s="3"/>
      <c r="E19" s="3"/>
      <c r="F19" s="3"/>
      <c r="G19" s="3"/>
    </row>
    <row r="20" spans="1:10" ht="15" customHeight="1" x14ac:dyDescent="0.35">
      <c r="A20" s="2" t="s">
        <v>155</v>
      </c>
      <c r="B20" s="2"/>
      <c r="C20" s="2"/>
      <c r="D20" s="2"/>
      <c r="E20" s="2"/>
      <c r="F20" s="2"/>
      <c r="G20" s="2"/>
      <c r="H20" s="2"/>
    </row>
  </sheetData>
  <mergeCells count="5">
    <mergeCell ref="B4:G4"/>
    <mergeCell ref="B5:G5"/>
    <mergeCell ref="B6:G6"/>
    <mergeCell ref="A19:G19"/>
    <mergeCell ref="A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0"/>
  <sheetViews>
    <sheetView showGridLines="0" zoomScaleNormal="100" workbookViewId="0"/>
  </sheetViews>
  <sheetFormatPr defaultColWidth="8.6328125" defaultRowHeight="14.5" x14ac:dyDescent="0.35"/>
  <cols>
    <col min="1" max="1" width="15" customWidth="1"/>
    <col min="2" max="2" width="8" customWidth="1"/>
    <col min="3" max="7" width="17" customWidth="1"/>
    <col min="9" max="9" width="11" customWidth="1"/>
  </cols>
  <sheetData>
    <row r="1" spans="1:9" ht="18" x14ac:dyDescent="0.4">
      <c r="A1" s="5" t="s">
        <v>240</v>
      </c>
    </row>
    <row r="2" spans="1:9" x14ac:dyDescent="0.35">
      <c r="A2" s="6" t="s">
        <v>241</v>
      </c>
    </row>
    <row r="4" spans="1:9" ht="23.9" customHeight="1" x14ac:dyDescent="0.35">
      <c r="A4" s="16" t="s">
        <v>160</v>
      </c>
      <c r="B4" s="1" t="s">
        <v>242</v>
      </c>
      <c r="C4" s="1"/>
      <c r="D4" s="1"/>
      <c r="E4" s="1"/>
      <c r="F4" s="1"/>
      <c r="G4" s="1"/>
    </row>
    <row r="5" spans="1:9" ht="35" customHeight="1" x14ac:dyDescent="0.35">
      <c r="A5" s="16" t="s">
        <v>162</v>
      </c>
      <c r="B5" s="1" t="s">
        <v>243</v>
      </c>
      <c r="C5" s="1"/>
      <c r="D5" s="1"/>
      <c r="E5" s="1"/>
      <c r="F5" s="1"/>
      <c r="G5" s="1"/>
    </row>
    <row r="6" spans="1:9" ht="23.9" customHeight="1" x14ac:dyDescent="0.35">
      <c r="A6" s="16" t="s">
        <v>164</v>
      </c>
      <c r="B6" s="1" t="s">
        <v>244</v>
      </c>
      <c r="C6" s="1"/>
      <c r="D6" s="1"/>
      <c r="E6" s="1"/>
      <c r="F6" s="1"/>
      <c r="G6" s="1"/>
    </row>
    <row r="8" spans="1:9" x14ac:dyDescent="0.35">
      <c r="A8" s="7" t="s">
        <v>82</v>
      </c>
      <c r="B8" s="7" t="s">
        <v>83</v>
      </c>
      <c r="C8" s="7" t="s">
        <v>166</v>
      </c>
      <c r="D8" s="7" t="s">
        <v>167</v>
      </c>
      <c r="E8" s="7" t="s">
        <v>168</v>
      </c>
      <c r="F8" s="7" t="s">
        <v>169</v>
      </c>
      <c r="G8" s="7" t="s">
        <v>170</v>
      </c>
    </row>
    <row r="9" spans="1:9" x14ac:dyDescent="0.35">
      <c r="A9" s="11" t="s">
        <v>92</v>
      </c>
      <c r="B9" s="10" t="s">
        <v>93</v>
      </c>
      <c r="C9" s="13">
        <v>89.9</v>
      </c>
      <c r="D9" s="13">
        <v>86.8</v>
      </c>
      <c r="E9" s="10" t="s">
        <v>245</v>
      </c>
      <c r="F9" s="17">
        <f t="shared" ref="F9:F18" si="0">I9-C9</f>
        <v>-2</v>
      </c>
      <c r="G9" s="18">
        <f t="shared" ref="G9:G18" si="1">IF((C9-D9)=0,"",(I9-D9)/(C9-D9))</f>
        <v>0.35483870967742115</v>
      </c>
      <c r="I9" s="19">
        <v>87.9</v>
      </c>
    </row>
    <row r="10" spans="1:9" x14ac:dyDescent="0.35">
      <c r="A10" s="11" t="s">
        <v>92</v>
      </c>
      <c r="B10" s="10" t="s">
        <v>101</v>
      </c>
      <c r="C10" s="13">
        <v>89.6</v>
      </c>
      <c r="D10" s="13">
        <v>87.1</v>
      </c>
      <c r="E10" s="10" t="s">
        <v>246</v>
      </c>
      <c r="F10" s="17">
        <f t="shared" si="0"/>
        <v>-1.7999999999999972</v>
      </c>
      <c r="G10" s="18">
        <f t="shared" si="1"/>
        <v>0.28000000000000114</v>
      </c>
      <c r="I10" s="19">
        <v>87.8</v>
      </c>
    </row>
    <row r="11" spans="1:9" x14ac:dyDescent="0.35">
      <c r="A11" s="11" t="s">
        <v>108</v>
      </c>
      <c r="B11" s="10" t="s">
        <v>93</v>
      </c>
      <c r="C11" s="13">
        <v>96.1</v>
      </c>
      <c r="D11" s="13">
        <v>90.7</v>
      </c>
      <c r="E11" s="10" t="s">
        <v>247</v>
      </c>
      <c r="F11" s="17">
        <f t="shared" si="0"/>
        <v>-3.5999999999999943</v>
      </c>
      <c r="G11" s="18">
        <f t="shared" si="1"/>
        <v>0.33333333333333331</v>
      </c>
      <c r="I11" s="19">
        <v>92.5</v>
      </c>
    </row>
    <row r="12" spans="1:9" x14ac:dyDescent="0.35">
      <c r="A12" s="11" t="s">
        <v>108</v>
      </c>
      <c r="B12" s="10" t="s">
        <v>101</v>
      </c>
      <c r="C12" s="13">
        <v>93.9</v>
      </c>
      <c r="D12" s="13">
        <v>89</v>
      </c>
      <c r="E12" s="10" t="s">
        <v>248</v>
      </c>
      <c r="F12" s="17">
        <f t="shared" si="0"/>
        <v>-3.7000000000000028</v>
      </c>
      <c r="G12" s="18">
        <f t="shared" si="1"/>
        <v>0.24489795918367377</v>
      </c>
      <c r="I12" s="19">
        <v>90.2</v>
      </c>
    </row>
    <row r="13" spans="1:9" x14ac:dyDescent="0.35">
      <c r="A13" s="11" t="s">
        <v>121</v>
      </c>
      <c r="B13" s="10" t="s">
        <v>93</v>
      </c>
      <c r="C13" s="13">
        <v>100</v>
      </c>
      <c r="D13" s="13">
        <v>99.2</v>
      </c>
      <c r="E13" s="10" t="s">
        <v>249</v>
      </c>
      <c r="F13" s="17">
        <f t="shared" si="0"/>
        <v>-0.29999999999999716</v>
      </c>
      <c r="G13" s="18">
        <f t="shared" si="1"/>
        <v>0.62500000000000222</v>
      </c>
      <c r="I13" s="19">
        <v>99.7</v>
      </c>
    </row>
    <row r="14" spans="1:9" x14ac:dyDescent="0.35">
      <c r="A14" s="11" t="s">
        <v>121</v>
      </c>
      <c r="B14" s="10" t="s">
        <v>101</v>
      </c>
      <c r="C14" s="13">
        <v>100</v>
      </c>
      <c r="D14" s="13">
        <v>99.6</v>
      </c>
      <c r="E14" s="10" t="s">
        <v>206</v>
      </c>
      <c r="F14" s="17">
        <f t="shared" si="0"/>
        <v>-9.9999999999994316E-2</v>
      </c>
      <c r="G14" s="18">
        <f t="shared" si="1"/>
        <v>0.75000000000001776</v>
      </c>
      <c r="I14" s="19">
        <v>99.9</v>
      </c>
    </row>
    <row r="15" spans="1:9" x14ac:dyDescent="0.35">
      <c r="A15" s="11" t="s">
        <v>129</v>
      </c>
      <c r="B15" s="10" t="s">
        <v>93</v>
      </c>
      <c r="C15" s="13">
        <v>95.5</v>
      </c>
      <c r="D15" s="13">
        <v>90.8</v>
      </c>
      <c r="E15" s="10" t="s">
        <v>250</v>
      </c>
      <c r="F15" s="17">
        <f t="shared" si="0"/>
        <v>-3.2999999999999972</v>
      </c>
      <c r="G15" s="18">
        <f t="shared" si="1"/>
        <v>0.29787234042553296</v>
      </c>
      <c r="I15" s="19">
        <v>92.2</v>
      </c>
    </row>
    <row r="16" spans="1:9" x14ac:dyDescent="0.35">
      <c r="A16" s="11" t="s">
        <v>129</v>
      </c>
      <c r="B16" s="10" t="s">
        <v>101</v>
      </c>
      <c r="C16" s="13">
        <v>95.3</v>
      </c>
      <c r="D16" s="13">
        <v>89.6</v>
      </c>
      <c r="E16" s="10" t="s">
        <v>251</v>
      </c>
      <c r="F16" s="17">
        <f t="shared" si="0"/>
        <v>-4.5999999999999943</v>
      </c>
      <c r="G16" s="18">
        <f t="shared" si="1"/>
        <v>0.19298245614035228</v>
      </c>
      <c r="I16" s="19">
        <v>90.7</v>
      </c>
    </row>
    <row r="17" spans="1:9" x14ac:dyDescent="0.35">
      <c r="A17" s="11" t="s">
        <v>142</v>
      </c>
      <c r="B17" s="10" t="s">
        <v>93</v>
      </c>
      <c r="C17" s="13">
        <v>98.4</v>
      </c>
      <c r="D17" s="13">
        <v>95.2</v>
      </c>
      <c r="E17" s="10" t="s">
        <v>252</v>
      </c>
      <c r="F17" s="17">
        <f t="shared" si="0"/>
        <v>-1.7000000000000028</v>
      </c>
      <c r="G17" s="18">
        <f t="shared" si="1"/>
        <v>0.46874999999999956</v>
      </c>
      <c r="I17" s="19">
        <v>96.7</v>
      </c>
    </row>
    <row r="18" spans="1:9" x14ac:dyDescent="0.35">
      <c r="A18" s="11" t="s">
        <v>142</v>
      </c>
      <c r="B18" s="10" t="s">
        <v>101</v>
      </c>
      <c r="C18" s="13">
        <v>99.2</v>
      </c>
      <c r="D18" s="13">
        <v>92.8</v>
      </c>
      <c r="E18" s="10" t="s">
        <v>253</v>
      </c>
      <c r="F18" s="17">
        <f t="shared" si="0"/>
        <v>-4.4000000000000057</v>
      </c>
      <c r="G18" s="18">
        <f t="shared" si="1"/>
        <v>0.31249999999999972</v>
      </c>
      <c r="I18" s="19">
        <v>94.8</v>
      </c>
    </row>
    <row r="19" spans="1:9" x14ac:dyDescent="0.35">
      <c r="A19" s="3" t="s">
        <v>180</v>
      </c>
      <c r="B19" s="3"/>
      <c r="C19" s="3"/>
      <c r="D19" s="3"/>
      <c r="E19" s="3"/>
      <c r="F19" s="3"/>
      <c r="G19" s="3"/>
    </row>
    <row r="20" spans="1:9" ht="22.4" customHeight="1" x14ac:dyDescent="0.35">
      <c r="A20" s="2" t="s">
        <v>155</v>
      </c>
      <c r="B20" s="2"/>
      <c r="C20" s="2"/>
      <c r="D20" s="2"/>
      <c r="E20" s="2"/>
      <c r="F20" s="2"/>
      <c r="G20" s="2"/>
    </row>
  </sheetData>
  <mergeCells count="5">
    <mergeCell ref="B4:G4"/>
    <mergeCell ref="B5:G5"/>
    <mergeCell ref="B6:G6"/>
    <mergeCell ref="A19:G19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6"/>
  <sheetViews>
    <sheetView showGridLines="0" zoomScaleNormal="100" workbookViewId="0"/>
  </sheetViews>
  <sheetFormatPr defaultColWidth="8.6328125" defaultRowHeight="14.5" x14ac:dyDescent="0.35"/>
  <cols>
    <col min="1" max="1" width="15" customWidth="1"/>
    <col min="2" max="2" width="8" customWidth="1"/>
    <col min="3" max="7" width="17" customWidth="1"/>
    <col min="9" max="9" width="11" customWidth="1"/>
  </cols>
  <sheetData>
    <row r="1" spans="1:9" ht="18" x14ac:dyDescent="0.4">
      <c r="A1" s="5" t="s">
        <v>254</v>
      </c>
    </row>
    <row r="2" spans="1:9" x14ac:dyDescent="0.35">
      <c r="A2" s="6" t="s">
        <v>255</v>
      </c>
    </row>
    <row r="4" spans="1:9" ht="23.9" customHeight="1" x14ac:dyDescent="0.35">
      <c r="A4" s="16" t="s">
        <v>160</v>
      </c>
      <c r="B4" s="1" t="s">
        <v>256</v>
      </c>
      <c r="C4" s="1"/>
      <c r="D4" s="1"/>
      <c r="E4" s="1"/>
      <c r="F4" s="1"/>
      <c r="G4" s="1"/>
    </row>
    <row r="5" spans="1:9" ht="35" customHeight="1" x14ac:dyDescent="0.35">
      <c r="A5" s="16" t="s">
        <v>162</v>
      </c>
      <c r="B5" s="1" t="s">
        <v>257</v>
      </c>
      <c r="C5" s="1"/>
      <c r="D5" s="1"/>
      <c r="E5" s="1"/>
      <c r="F5" s="1"/>
      <c r="G5" s="1"/>
    </row>
    <row r="6" spans="1:9" ht="23.9" customHeight="1" x14ac:dyDescent="0.35">
      <c r="A6" s="16" t="s">
        <v>164</v>
      </c>
      <c r="B6" s="1" t="s">
        <v>258</v>
      </c>
      <c r="C6" s="1"/>
      <c r="D6" s="1"/>
      <c r="E6" s="1"/>
      <c r="F6" s="1"/>
      <c r="G6" s="1"/>
    </row>
    <row r="8" spans="1:9" x14ac:dyDescent="0.35">
      <c r="A8" s="7" t="s">
        <v>82</v>
      </c>
      <c r="B8" s="7" t="s">
        <v>83</v>
      </c>
      <c r="C8" s="7" t="s">
        <v>166</v>
      </c>
      <c r="D8" s="7" t="s">
        <v>167</v>
      </c>
      <c r="E8" s="7" t="s">
        <v>168</v>
      </c>
      <c r="F8" s="7" t="s">
        <v>169</v>
      </c>
      <c r="G8" s="7" t="s">
        <v>170</v>
      </c>
    </row>
    <row r="9" spans="1:9" x14ac:dyDescent="0.35">
      <c r="A9" s="11" t="s">
        <v>108</v>
      </c>
      <c r="B9" s="10" t="s">
        <v>93</v>
      </c>
      <c r="C9" s="13">
        <v>96.1</v>
      </c>
      <c r="D9" s="13">
        <v>90.7</v>
      </c>
      <c r="E9" s="10" t="s">
        <v>259</v>
      </c>
      <c r="F9" s="17">
        <f t="shared" ref="F9:F14" si="0">I9-C9</f>
        <v>-1.0999999999999943</v>
      </c>
      <c r="G9" s="18">
        <f t="shared" ref="G9:G14" si="1">IF((C9-D9)=0,"",(I9-D9)/(C9-D9))</f>
        <v>0.79629629629629706</v>
      </c>
      <c r="I9" s="19">
        <v>95</v>
      </c>
    </row>
    <row r="10" spans="1:9" x14ac:dyDescent="0.35">
      <c r="A10" s="11" t="s">
        <v>108</v>
      </c>
      <c r="B10" s="10" t="s">
        <v>101</v>
      </c>
      <c r="C10" s="13">
        <v>93.9</v>
      </c>
      <c r="D10" s="13">
        <v>89</v>
      </c>
      <c r="E10" s="10" t="s">
        <v>260</v>
      </c>
      <c r="F10" s="17">
        <f t="shared" si="0"/>
        <v>-1.2000000000000028</v>
      </c>
      <c r="G10" s="18">
        <f t="shared" si="1"/>
        <v>0.75510204081632626</v>
      </c>
      <c r="I10" s="19">
        <v>92.7</v>
      </c>
    </row>
    <row r="11" spans="1:9" x14ac:dyDescent="0.35">
      <c r="A11" s="11" t="s">
        <v>121</v>
      </c>
      <c r="B11" s="10" t="s">
        <v>93</v>
      </c>
      <c r="C11" s="13">
        <v>100</v>
      </c>
      <c r="D11" s="13">
        <v>99.2</v>
      </c>
      <c r="E11" s="10" t="s">
        <v>261</v>
      </c>
      <c r="F11" s="17">
        <f t="shared" si="0"/>
        <v>-0.40000000000000568</v>
      </c>
      <c r="G11" s="18">
        <f t="shared" si="1"/>
        <v>0.49999999999999112</v>
      </c>
      <c r="I11" s="19">
        <v>99.6</v>
      </c>
    </row>
    <row r="12" spans="1:9" x14ac:dyDescent="0.35">
      <c r="A12" s="11" t="s">
        <v>121</v>
      </c>
      <c r="B12" s="10" t="s">
        <v>101</v>
      </c>
      <c r="C12" s="13">
        <v>100</v>
      </c>
      <c r="D12" s="13">
        <v>99.6</v>
      </c>
      <c r="E12" s="10" t="s">
        <v>262</v>
      </c>
      <c r="F12" s="17">
        <f t="shared" si="0"/>
        <v>-0.20000000000000284</v>
      </c>
      <c r="G12" s="18">
        <f t="shared" si="1"/>
        <v>0.5</v>
      </c>
      <c r="I12" s="19">
        <v>99.8</v>
      </c>
    </row>
    <row r="13" spans="1:9" x14ac:dyDescent="0.35">
      <c r="A13" s="11" t="s">
        <v>142</v>
      </c>
      <c r="B13" s="10" t="s">
        <v>93</v>
      </c>
      <c r="C13" s="13">
        <v>98.4</v>
      </c>
      <c r="D13" s="13">
        <v>95.2</v>
      </c>
      <c r="E13" s="10" t="s">
        <v>210</v>
      </c>
      <c r="F13" s="17">
        <f t="shared" si="0"/>
        <v>-0.40000000000000568</v>
      </c>
      <c r="G13" s="18">
        <f t="shared" si="1"/>
        <v>0.87499999999999833</v>
      </c>
      <c r="I13" s="19">
        <v>98</v>
      </c>
    </row>
    <row r="14" spans="1:9" x14ac:dyDescent="0.35">
      <c r="A14" s="11" t="s">
        <v>142</v>
      </c>
      <c r="B14" s="10" t="s">
        <v>101</v>
      </c>
      <c r="C14" s="13">
        <v>99.2</v>
      </c>
      <c r="D14" s="13">
        <v>92.8</v>
      </c>
      <c r="E14" s="10" t="s">
        <v>263</v>
      </c>
      <c r="F14" s="17">
        <f t="shared" si="0"/>
        <v>-1.4000000000000057</v>
      </c>
      <c r="G14" s="18">
        <f t="shared" si="1"/>
        <v>0.78124999999999933</v>
      </c>
      <c r="I14" s="19">
        <v>97.8</v>
      </c>
    </row>
    <row r="15" spans="1:9" x14ac:dyDescent="0.35">
      <c r="A15" s="3" t="s">
        <v>180</v>
      </c>
      <c r="B15" s="3"/>
      <c r="C15" s="3"/>
      <c r="D15" s="3"/>
      <c r="E15" s="3"/>
      <c r="F15" s="3"/>
      <c r="G15" s="3"/>
    </row>
    <row r="16" spans="1:9" ht="22.4" customHeight="1" x14ac:dyDescent="0.35">
      <c r="A16" s="2" t="s">
        <v>155</v>
      </c>
      <c r="B16" s="2"/>
      <c r="C16" s="2"/>
      <c r="D16" s="2"/>
      <c r="E16" s="2"/>
      <c r="F16" s="2"/>
      <c r="G16" s="2"/>
    </row>
  </sheetData>
  <mergeCells count="5">
    <mergeCell ref="B4:G4"/>
    <mergeCell ref="B5:G5"/>
    <mergeCell ref="B6:G6"/>
    <mergeCell ref="A15:G15"/>
    <mergeCell ref="A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7"/>
  <sheetViews>
    <sheetView showGridLines="0" zoomScaleNormal="100" workbookViewId="0"/>
  </sheetViews>
  <sheetFormatPr defaultColWidth="8.6328125" defaultRowHeight="14.5" x14ac:dyDescent="0.35"/>
  <cols>
    <col min="1" max="1" width="15" customWidth="1"/>
    <col min="2" max="2" width="8" customWidth="1"/>
    <col min="3" max="7" width="18" customWidth="1"/>
    <col min="9" max="9" width="11" customWidth="1"/>
  </cols>
  <sheetData>
    <row r="1" spans="1:9" ht="18" x14ac:dyDescent="0.4">
      <c r="A1" s="5" t="s">
        <v>264</v>
      </c>
    </row>
    <row r="2" spans="1:9" x14ac:dyDescent="0.35">
      <c r="A2" s="6" t="s">
        <v>265</v>
      </c>
    </row>
    <row r="4" spans="1:9" ht="23.9" customHeight="1" x14ac:dyDescent="0.35">
      <c r="A4" s="16" t="s">
        <v>160</v>
      </c>
      <c r="B4" s="1" t="s">
        <v>266</v>
      </c>
      <c r="C4" s="1"/>
      <c r="D4" s="1"/>
      <c r="E4" s="1"/>
      <c r="F4" s="1"/>
      <c r="G4" s="1"/>
    </row>
    <row r="5" spans="1:9" ht="35" customHeight="1" x14ac:dyDescent="0.35">
      <c r="A5" s="16" t="s">
        <v>162</v>
      </c>
      <c r="B5" s="1" t="s">
        <v>267</v>
      </c>
      <c r="C5" s="1"/>
      <c r="D5" s="1"/>
      <c r="E5" s="1"/>
      <c r="F5" s="1"/>
      <c r="G5" s="1"/>
    </row>
    <row r="6" spans="1:9" ht="23.9" customHeight="1" x14ac:dyDescent="0.35">
      <c r="A6" s="16" t="s">
        <v>164</v>
      </c>
      <c r="B6" s="1" t="s">
        <v>268</v>
      </c>
      <c r="C6" s="1"/>
      <c r="D6" s="1"/>
      <c r="E6" s="1"/>
      <c r="F6" s="1"/>
      <c r="G6" s="1"/>
    </row>
    <row r="8" spans="1:9" x14ac:dyDescent="0.35">
      <c r="A8" s="7" t="s">
        <v>82</v>
      </c>
      <c r="B8" s="7" t="s">
        <v>83</v>
      </c>
      <c r="C8" s="7" t="s">
        <v>269</v>
      </c>
      <c r="D8" s="7" t="s">
        <v>89</v>
      </c>
      <c r="E8" s="7" t="s">
        <v>270</v>
      </c>
      <c r="F8" s="7" t="s">
        <v>90</v>
      </c>
      <c r="G8" s="7" t="s">
        <v>271</v>
      </c>
    </row>
    <row r="9" spans="1:9" x14ac:dyDescent="0.35">
      <c r="A9" s="11" t="s">
        <v>108</v>
      </c>
      <c r="B9" s="10" t="s">
        <v>93</v>
      </c>
      <c r="C9" s="13">
        <v>90.7</v>
      </c>
      <c r="D9" s="10" t="s">
        <v>113</v>
      </c>
      <c r="E9" s="10" t="s">
        <v>272</v>
      </c>
      <c r="F9" s="12" t="s">
        <v>114</v>
      </c>
      <c r="G9" s="17">
        <f>96.1-I9</f>
        <v>10.799999999999997</v>
      </c>
      <c r="I9" s="19">
        <v>85.3</v>
      </c>
    </row>
    <row r="10" spans="1:9" x14ac:dyDescent="0.35">
      <c r="A10" s="11" t="s">
        <v>108</v>
      </c>
      <c r="B10" s="10" t="s">
        <v>101</v>
      </c>
      <c r="C10" s="13">
        <v>89</v>
      </c>
      <c r="D10" s="10" t="s">
        <v>119</v>
      </c>
      <c r="E10" s="10" t="s">
        <v>273</v>
      </c>
      <c r="F10" s="12" t="s">
        <v>120</v>
      </c>
      <c r="G10" s="17">
        <f>93.9-I10</f>
        <v>11.100000000000009</v>
      </c>
      <c r="I10" s="19">
        <v>82.8</v>
      </c>
    </row>
    <row r="11" spans="1:9" x14ac:dyDescent="0.35">
      <c r="A11" s="11" t="s">
        <v>121</v>
      </c>
      <c r="B11" s="10" t="s">
        <v>93</v>
      </c>
      <c r="C11" s="13">
        <v>99.2</v>
      </c>
      <c r="D11" s="10" t="s">
        <v>123</v>
      </c>
      <c r="E11" s="10" t="s">
        <v>274</v>
      </c>
      <c r="F11" s="12" t="s">
        <v>125</v>
      </c>
      <c r="G11" s="17">
        <f>100-I11</f>
        <v>1.0999999999999943</v>
      </c>
      <c r="I11" s="19">
        <v>98.9</v>
      </c>
    </row>
    <row r="12" spans="1:9" x14ac:dyDescent="0.35">
      <c r="A12" s="11" t="s">
        <v>121</v>
      </c>
      <c r="B12" s="10" t="s">
        <v>101</v>
      </c>
      <c r="C12" s="13">
        <v>99.6</v>
      </c>
      <c r="D12" s="10" t="s">
        <v>126</v>
      </c>
      <c r="E12" s="10" t="s">
        <v>275</v>
      </c>
      <c r="F12" s="12" t="s">
        <v>125</v>
      </c>
      <c r="G12" s="17">
        <f>100-I12</f>
        <v>1.7999999999999972</v>
      </c>
      <c r="I12" s="19">
        <v>98.2</v>
      </c>
    </row>
    <row r="13" spans="1:9" x14ac:dyDescent="0.35">
      <c r="A13" s="11" t="s">
        <v>129</v>
      </c>
      <c r="B13" s="10" t="s">
        <v>93</v>
      </c>
      <c r="C13" s="13">
        <v>90.8</v>
      </c>
      <c r="D13" s="10" t="s">
        <v>134</v>
      </c>
      <c r="E13" s="10" t="s">
        <v>276</v>
      </c>
      <c r="F13" s="12" t="s">
        <v>135</v>
      </c>
      <c r="G13" s="17">
        <f>95.5-I13</f>
        <v>6.5999999999999943</v>
      </c>
      <c r="I13" s="19">
        <v>88.9</v>
      </c>
    </row>
    <row r="14" spans="1:9" x14ac:dyDescent="0.35">
      <c r="A14" s="11" t="s">
        <v>129</v>
      </c>
      <c r="B14" s="10" t="s">
        <v>101</v>
      </c>
      <c r="C14" s="13">
        <v>89.6</v>
      </c>
      <c r="D14" s="10" t="s">
        <v>140</v>
      </c>
      <c r="E14" s="10" t="s">
        <v>277</v>
      </c>
      <c r="F14" s="12" t="s">
        <v>141</v>
      </c>
      <c r="G14" s="17">
        <f>95.3-I14</f>
        <v>12.099999999999994</v>
      </c>
      <c r="I14" s="19">
        <v>83.2</v>
      </c>
    </row>
    <row r="15" spans="1:9" x14ac:dyDescent="0.35">
      <c r="A15" s="11" t="s">
        <v>142</v>
      </c>
      <c r="B15" s="10" t="s">
        <v>93</v>
      </c>
      <c r="C15" s="13">
        <v>95.2</v>
      </c>
      <c r="D15" s="10" t="s">
        <v>147</v>
      </c>
      <c r="E15" s="10" t="s">
        <v>278</v>
      </c>
      <c r="F15" s="12" t="s">
        <v>148</v>
      </c>
      <c r="G15" s="17">
        <f>98.4-I15</f>
        <v>7.2000000000000028</v>
      </c>
      <c r="I15" s="19">
        <v>91.2</v>
      </c>
    </row>
    <row r="16" spans="1:9" x14ac:dyDescent="0.35">
      <c r="A16" s="11" t="s">
        <v>142</v>
      </c>
      <c r="B16" s="10" t="s">
        <v>101</v>
      </c>
      <c r="C16" s="13">
        <v>92.8</v>
      </c>
      <c r="D16" s="10" t="s">
        <v>152</v>
      </c>
      <c r="E16" s="10" t="s">
        <v>279</v>
      </c>
      <c r="F16" s="12" t="s">
        <v>153</v>
      </c>
      <c r="G16" s="17">
        <f>99.2-I16</f>
        <v>10.200000000000003</v>
      </c>
      <c r="I16" s="19">
        <v>89</v>
      </c>
    </row>
    <row r="17" spans="1:7" ht="15" customHeight="1" x14ac:dyDescent="0.35">
      <c r="A17" s="2" t="s">
        <v>155</v>
      </c>
      <c r="B17" s="2"/>
      <c r="C17" s="2"/>
      <c r="D17" s="2"/>
      <c r="E17" s="2"/>
      <c r="F17" s="2"/>
      <c r="G17" s="2"/>
    </row>
  </sheetData>
  <mergeCells count="4">
    <mergeCell ref="B4:G4"/>
    <mergeCell ref="B5:G5"/>
    <mergeCell ref="B6:G6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4"/>
  <sheetViews>
    <sheetView showGridLines="0" zoomScaleNormal="100" workbookViewId="0"/>
  </sheetViews>
  <sheetFormatPr defaultColWidth="8.6328125" defaultRowHeight="14.5" x14ac:dyDescent="0.35"/>
  <cols>
    <col min="1" max="1" width="32" customWidth="1"/>
    <col min="2" max="3" width="20" customWidth="1"/>
  </cols>
  <sheetData>
    <row r="1" spans="1:7" ht="18" x14ac:dyDescent="0.4">
      <c r="A1" s="5" t="s">
        <v>280</v>
      </c>
    </row>
    <row r="2" spans="1:7" x14ac:dyDescent="0.35">
      <c r="A2" s="6" t="s">
        <v>281</v>
      </c>
    </row>
    <row r="4" spans="1:7" ht="23.9" customHeight="1" x14ac:dyDescent="0.35">
      <c r="A4" s="16" t="s">
        <v>160</v>
      </c>
      <c r="B4" s="1" t="s">
        <v>282</v>
      </c>
      <c r="C4" s="1"/>
      <c r="D4" s="1"/>
      <c r="E4" s="1"/>
      <c r="F4" s="1"/>
      <c r="G4" s="1"/>
    </row>
    <row r="5" spans="1:7" ht="23.9" customHeight="1" x14ac:dyDescent="0.35">
      <c r="A5" s="16" t="s">
        <v>162</v>
      </c>
      <c r="B5" s="1" t="s">
        <v>283</v>
      </c>
      <c r="C5" s="1"/>
      <c r="D5" s="1"/>
      <c r="E5" s="1"/>
      <c r="F5" s="1"/>
      <c r="G5" s="1"/>
    </row>
    <row r="6" spans="1:7" ht="23.9" customHeight="1" x14ac:dyDescent="0.35">
      <c r="A6" s="16" t="s">
        <v>164</v>
      </c>
      <c r="B6" s="1" t="s">
        <v>284</v>
      </c>
      <c r="C6" s="1"/>
      <c r="D6" s="1"/>
      <c r="E6" s="1"/>
      <c r="F6" s="1"/>
      <c r="G6" s="1"/>
    </row>
    <row r="8" spans="1:7" x14ac:dyDescent="0.35">
      <c r="A8" s="7" t="s">
        <v>285</v>
      </c>
      <c r="B8" s="7" t="s">
        <v>286</v>
      </c>
      <c r="C8" s="7" t="s">
        <v>287</v>
      </c>
    </row>
    <row r="9" spans="1:7" x14ac:dyDescent="0.35">
      <c r="A9" s="21" t="s">
        <v>288</v>
      </c>
      <c r="B9" s="22" t="s">
        <v>289</v>
      </c>
      <c r="C9" s="22" t="s">
        <v>290</v>
      </c>
    </row>
    <row r="10" spans="1:7" x14ac:dyDescent="0.35">
      <c r="A10" s="9" t="s">
        <v>291</v>
      </c>
      <c r="B10" s="10" t="s">
        <v>292</v>
      </c>
      <c r="C10" s="10" t="s">
        <v>293</v>
      </c>
    </row>
    <row r="11" spans="1:7" x14ac:dyDescent="0.35">
      <c r="A11" s="9" t="s">
        <v>294</v>
      </c>
      <c r="B11" s="10" t="s">
        <v>220</v>
      </c>
      <c r="C11" s="10" t="s">
        <v>295</v>
      </c>
    </row>
    <row r="12" spans="1:7" x14ac:dyDescent="0.35">
      <c r="A12" s="9" t="s">
        <v>296</v>
      </c>
      <c r="B12" s="10" t="s">
        <v>297</v>
      </c>
      <c r="C12" s="10" t="s">
        <v>298</v>
      </c>
    </row>
    <row r="13" spans="1:7" x14ac:dyDescent="0.35">
      <c r="A13" s="9" t="s">
        <v>299</v>
      </c>
      <c r="B13" s="10" t="s">
        <v>300</v>
      </c>
      <c r="C13" s="10" t="s">
        <v>301</v>
      </c>
    </row>
    <row r="14" spans="1:7" ht="22.4" customHeight="1" x14ac:dyDescent="0.35">
      <c r="A14" s="2" t="s">
        <v>155</v>
      </c>
      <c r="B14" s="2"/>
      <c r="C14" s="2"/>
    </row>
  </sheetData>
  <mergeCells count="4">
    <mergeCell ref="B4:G4"/>
    <mergeCell ref="B5:G5"/>
    <mergeCell ref="B6:G6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"/>
  <sheetViews>
    <sheetView showGridLines="0" zoomScaleNormal="100" workbookViewId="0"/>
  </sheetViews>
  <sheetFormatPr defaultColWidth="8.6328125" defaultRowHeight="14.5" x14ac:dyDescent="0.35"/>
  <cols>
    <col min="1" max="1" width="28" customWidth="1"/>
    <col min="2" max="5" width="14" customWidth="1"/>
  </cols>
  <sheetData>
    <row r="1" spans="1:7" ht="18" x14ac:dyDescent="0.4">
      <c r="A1" s="5" t="s">
        <v>302</v>
      </c>
    </row>
    <row r="2" spans="1:7" x14ac:dyDescent="0.35">
      <c r="A2" s="6" t="s">
        <v>303</v>
      </c>
    </row>
    <row r="4" spans="1:7" ht="23.9" customHeight="1" x14ac:dyDescent="0.35">
      <c r="A4" s="16" t="s">
        <v>160</v>
      </c>
      <c r="B4" s="1" t="s">
        <v>304</v>
      </c>
      <c r="C4" s="1"/>
      <c r="D4" s="1"/>
      <c r="E4" s="1"/>
      <c r="F4" s="1"/>
      <c r="G4" s="1"/>
    </row>
    <row r="5" spans="1:7" ht="23.9" customHeight="1" x14ac:dyDescent="0.35">
      <c r="A5" s="16" t="s">
        <v>162</v>
      </c>
      <c r="B5" s="1" t="s">
        <v>305</v>
      </c>
      <c r="C5" s="1"/>
      <c r="D5" s="1"/>
      <c r="E5" s="1"/>
      <c r="F5" s="1"/>
      <c r="G5" s="1"/>
    </row>
    <row r="6" spans="1:7" ht="23.9" customHeight="1" x14ac:dyDescent="0.35">
      <c r="A6" s="16" t="s">
        <v>164</v>
      </c>
      <c r="B6" s="1" t="s">
        <v>306</v>
      </c>
      <c r="C6" s="1"/>
      <c r="D6" s="1"/>
      <c r="E6" s="1"/>
      <c r="F6" s="1"/>
      <c r="G6" s="1"/>
    </row>
    <row r="8" spans="1:7" x14ac:dyDescent="0.35">
      <c r="A8" s="7" t="s">
        <v>285</v>
      </c>
      <c r="B8" s="7" t="s">
        <v>307</v>
      </c>
      <c r="C8" s="7" t="s">
        <v>308</v>
      </c>
      <c r="D8" s="7" t="s">
        <v>309</v>
      </c>
      <c r="E8" s="7" t="s">
        <v>310</v>
      </c>
    </row>
    <row r="9" spans="1:7" x14ac:dyDescent="0.35">
      <c r="A9" s="21" t="s">
        <v>311</v>
      </c>
      <c r="B9" s="22" t="s">
        <v>312</v>
      </c>
      <c r="C9" s="22" t="s">
        <v>313</v>
      </c>
      <c r="D9" s="22" t="s">
        <v>314</v>
      </c>
      <c r="E9" s="22" t="s">
        <v>315</v>
      </c>
    </row>
    <row r="10" spans="1:7" x14ac:dyDescent="0.35">
      <c r="A10" s="9" t="s">
        <v>316</v>
      </c>
      <c r="B10" s="10" t="s">
        <v>317</v>
      </c>
      <c r="C10" s="10" t="s">
        <v>318</v>
      </c>
      <c r="D10" s="10" t="s">
        <v>319</v>
      </c>
      <c r="E10" s="10" t="s">
        <v>320</v>
      </c>
    </row>
    <row r="11" spans="1:7" x14ac:dyDescent="0.35">
      <c r="A11" s="9" t="s">
        <v>321</v>
      </c>
      <c r="B11" s="10" t="s">
        <v>322</v>
      </c>
      <c r="C11" s="10" t="s">
        <v>323</v>
      </c>
      <c r="D11" s="10" t="s">
        <v>324</v>
      </c>
      <c r="E11" s="10" t="s">
        <v>325</v>
      </c>
    </row>
    <row r="12" spans="1:7" x14ac:dyDescent="0.35">
      <c r="A12" s="9" t="s">
        <v>326</v>
      </c>
      <c r="B12" s="10" t="s">
        <v>327</v>
      </c>
      <c r="C12" s="10" t="s">
        <v>328</v>
      </c>
      <c r="D12" s="10" t="s">
        <v>329</v>
      </c>
      <c r="E12" s="10" t="s">
        <v>330</v>
      </c>
    </row>
    <row r="13" spans="1:7" ht="22.4" customHeight="1" x14ac:dyDescent="0.35">
      <c r="A13" s="2" t="s">
        <v>155</v>
      </c>
      <c r="B13" s="2"/>
      <c r="C13" s="2"/>
      <c r="D13" s="2"/>
      <c r="E13" s="2"/>
    </row>
  </sheetData>
  <mergeCells count="4">
    <mergeCell ref="B4:G4"/>
    <mergeCell ref="B5:G5"/>
    <mergeCell ref="B6:G6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showGridLines="0" topLeftCell="A7" zoomScaleNormal="100" workbookViewId="0"/>
  </sheetViews>
  <sheetFormatPr defaultColWidth="8.6328125" defaultRowHeight="14.5" x14ac:dyDescent="0.35"/>
  <cols>
    <col min="1" max="1" width="22" customWidth="1"/>
    <col min="2" max="7" width="14" customWidth="1"/>
  </cols>
  <sheetData>
    <row r="1" spans="1:7" ht="18" x14ac:dyDescent="0.4">
      <c r="A1" s="5" t="s">
        <v>331</v>
      </c>
    </row>
    <row r="2" spans="1:7" x14ac:dyDescent="0.35">
      <c r="A2" s="6" t="s">
        <v>332</v>
      </c>
    </row>
    <row r="4" spans="1:7" ht="23.9" customHeight="1" x14ac:dyDescent="0.35">
      <c r="A4" s="16" t="s">
        <v>160</v>
      </c>
      <c r="B4" s="1" t="s">
        <v>333</v>
      </c>
      <c r="C4" s="1"/>
      <c r="D4" s="1"/>
      <c r="E4" s="1"/>
      <c r="F4" s="1"/>
      <c r="G4" s="1"/>
    </row>
    <row r="5" spans="1:7" ht="23.9" customHeight="1" x14ac:dyDescent="0.35">
      <c r="A5" s="16" t="s">
        <v>162</v>
      </c>
      <c r="B5" s="1" t="s">
        <v>334</v>
      </c>
      <c r="C5" s="1"/>
      <c r="D5" s="1"/>
      <c r="E5" s="1"/>
      <c r="F5" s="1"/>
      <c r="G5" s="1"/>
    </row>
    <row r="6" spans="1:7" ht="15" customHeight="1" x14ac:dyDescent="0.35">
      <c r="A6" s="16" t="s">
        <v>164</v>
      </c>
      <c r="B6" s="1" t="s">
        <v>335</v>
      </c>
      <c r="C6" s="1"/>
      <c r="D6" s="1"/>
      <c r="E6" s="1"/>
      <c r="F6" s="1"/>
      <c r="G6" s="1"/>
    </row>
    <row r="8" spans="1:7" x14ac:dyDescent="0.35">
      <c r="A8" s="23" t="s">
        <v>336</v>
      </c>
    </row>
    <row r="9" spans="1:7" x14ac:dyDescent="0.35">
      <c r="A9" s="7" t="s">
        <v>337</v>
      </c>
      <c r="B9" s="7" t="s">
        <v>338</v>
      </c>
      <c r="C9" s="7" t="s">
        <v>339</v>
      </c>
      <c r="D9" s="7" t="s">
        <v>340</v>
      </c>
      <c r="E9" s="7" t="s">
        <v>341</v>
      </c>
      <c r="F9" s="7" t="s">
        <v>342</v>
      </c>
      <c r="G9" s="7" t="s">
        <v>343</v>
      </c>
    </row>
    <row r="10" spans="1:7" x14ac:dyDescent="0.35">
      <c r="A10" s="9" t="s">
        <v>91</v>
      </c>
      <c r="B10" s="10" t="s">
        <v>344</v>
      </c>
      <c r="C10" s="10" t="s">
        <v>345</v>
      </c>
      <c r="D10" s="10" t="s">
        <v>346</v>
      </c>
    </row>
    <row r="11" spans="1:7" x14ac:dyDescent="0.35">
      <c r="A11" s="9" t="s">
        <v>347</v>
      </c>
      <c r="B11" s="10" t="s">
        <v>348</v>
      </c>
      <c r="C11" s="10" t="s">
        <v>349</v>
      </c>
      <c r="D11" s="10" t="s">
        <v>350</v>
      </c>
    </row>
    <row r="12" spans="1:7" x14ac:dyDescent="0.35">
      <c r="A12" s="21" t="s">
        <v>90</v>
      </c>
      <c r="B12" s="12" t="s">
        <v>351</v>
      </c>
      <c r="C12" s="12" t="s">
        <v>352</v>
      </c>
      <c r="D12" s="12" t="s">
        <v>353</v>
      </c>
      <c r="E12" s="17">
        <v>5.5</v>
      </c>
      <c r="F12" s="17">
        <v>2.5</v>
      </c>
      <c r="G12" s="17">
        <v>0.8</v>
      </c>
    </row>
    <row r="14" spans="1:7" x14ac:dyDescent="0.35">
      <c r="A14" s="23" t="s">
        <v>354</v>
      </c>
    </row>
    <row r="15" spans="1:7" x14ac:dyDescent="0.35">
      <c r="A15" s="7" t="s">
        <v>337</v>
      </c>
      <c r="B15" s="7" t="s">
        <v>338</v>
      </c>
      <c r="C15" s="7" t="s">
        <v>339</v>
      </c>
      <c r="D15" s="7" t="s">
        <v>340</v>
      </c>
      <c r="E15" s="7" t="s">
        <v>341</v>
      </c>
      <c r="F15" s="7" t="s">
        <v>342</v>
      </c>
      <c r="G15" s="7" t="s">
        <v>343</v>
      </c>
    </row>
    <row r="16" spans="1:7" x14ac:dyDescent="0.35">
      <c r="A16" s="9" t="s">
        <v>91</v>
      </c>
      <c r="B16" s="10" t="s">
        <v>355</v>
      </c>
      <c r="C16" s="10" t="s">
        <v>356</v>
      </c>
      <c r="D16" s="10" t="s">
        <v>357</v>
      </c>
    </row>
    <row r="17" spans="1:7" x14ac:dyDescent="0.35">
      <c r="A17" s="9" t="s">
        <v>358</v>
      </c>
      <c r="B17" s="10" t="s">
        <v>359</v>
      </c>
      <c r="C17" s="10" t="s">
        <v>360</v>
      </c>
      <c r="D17" s="10" t="s">
        <v>361</v>
      </c>
    </row>
    <row r="18" spans="1:7" x14ac:dyDescent="0.35">
      <c r="A18" s="21" t="s">
        <v>90</v>
      </c>
      <c r="B18" s="12" t="s">
        <v>362</v>
      </c>
      <c r="C18" s="12" t="s">
        <v>363</v>
      </c>
      <c r="D18" s="12" t="s">
        <v>364</v>
      </c>
      <c r="E18" s="17">
        <v>13.3</v>
      </c>
      <c r="F18" s="17">
        <v>5.4</v>
      </c>
      <c r="G18" s="17">
        <v>3.8</v>
      </c>
    </row>
    <row r="20" spans="1:7" x14ac:dyDescent="0.35">
      <c r="A20" s="23" t="s">
        <v>365</v>
      </c>
    </row>
    <row r="21" spans="1:7" x14ac:dyDescent="0.35">
      <c r="A21" s="7" t="s">
        <v>337</v>
      </c>
      <c r="B21" s="7" t="s">
        <v>338</v>
      </c>
      <c r="C21" s="7" t="s">
        <v>339</v>
      </c>
      <c r="D21" s="7" t="s">
        <v>340</v>
      </c>
      <c r="E21" s="7" t="s">
        <v>341</v>
      </c>
      <c r="F21" s="7" t="s">
        <v>342</v>
      </c>
      <c r="G21" s="7" t="s">
        <v>343</v>
      </c>
    </row>
    <row r="22" spans="1:7" x14ac:dyDescent="0.35">
      <c r="A22" s="9" t="s">
        <v>91</v>
      </c>
      <c r="B22" s="10" t="s">
        <v>366</v>
      </c>
      <c r="C22" s="10" t="s">
        <v>367</v>
      </c>
      <c r="D22" s="10" t="s">
        <v>368</v>
      </c>
    </row>
    <row r="23" spans="1:7" x14ac:dyDescent="0.35">
      <c r="A23" s="9" t="s">
        <v>358</v>
      </c>
      <c r="B23" s="10" t="s">
        <v>369</v>
      </c>
      <c r="C23" s="10" t="s">
        <v>370</v>
      </c>
      <c r="D23" s="10" t="s">
        <v>371</v>
      </c>
    </row>
    <row r="24" spans="1:7" x14ac:dyDescent="0.35">
      <c r="A24" s="21" t="s">
        <v>90</v>
      </c>
      <c r="B24" s="12" t="s">
        <v>372</v>
      </c>
      <c r="C24" s="12" t="s">
        <v>373</v>
      </c>
      <c r="D24" s="12" t="s">
        <v>374</v>
      </c>
      <c r="E24" s="17">
        <v>13.4</v>
      </c>
      <c r="F24" s="17">
        <v>5.7</v>
      </c>
      <c r="G24" s="17">
        <v>3.7</v>
      </c>
    </row>
    <row r="26" spans="1:7" ht="22.4" customHeight="1" x14ac:dyDescent="0.35">
      <c r="A26" s="2" t="s">
        <v>155</v>
      </c>
      <c r="B26" s="2"/>
      <c r="C26" s="2"/>
      <c r="D26" s="2"/>
      <c r="E26" s="2"/>
      <c r="F26" s="2"/>
      <c r="G26" s="2"/>
    </row>
  </sheetData>
  <mergeCells count="4">
    <mergeCell ref="B4:G4"/>
    <mergeCell ref="B5:G5"/>
    <mergeCell ref="B6:G6"/>
    <mergeCell ref="A26:G26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showGridLines="0" zoomScaleNormal="100" workbookViewId="0"/>
  </sheetViews>
  <sheetFormatPr defaultColWidth="8.6328125" defaultRowHeight="14.5" x14ac:dyDescent="0.35"/>
  <cols>
    <col min="1" max="1" width="16" customWidth="1"/>
    <col min="2" max="2" width="10" customWidth="1"/>
    <col min="3" max="4" width="22" customWidth="1"/>
  </cols>
  <sheetData>
    <row r="1" spans="1:7" ht="18" x14ac:dyDescent="0.4">
      <c r="A1" s="5" t="s">
        <v>375</v>
      </c>
    </row>
    <row r="2" spans="1:7" x14ac:dyDescent="0.35">
      <c r="A2" s="6" t="s">
        <v>376</v>
      </c>
    </row>
    <row r="4" spans="1:7" ht="23.9" customHeight="1" x14ac:dyDescent="0.35">
      <c r="A4" s="16" t="s">
        <v>160</v>
      </c>
      <c r="B4" s="1" t="s">
        <v>377</v>
      </c>
      <c r="C4" s="1"/>
      <c r="D4" s="1"/>
      <c r="E4" s="1"/>
      <c r="F4" s="1"/>
      <c r="G4" s="1"/>
    </row>
    <row r="5" spans="1:7" ht="23.9" customHeight="1" x14ac:dyDescent="0.35">
      <c r="A5" s="16" t="s">
        <v>162</v>
      </c>
      <c r="B5" s="1" t="s">
        <v>378</v>
      </c>
      <c r="C5" s="1"/>
      <c r="D5" s="1"/>
      <c r="E5" s="1"/>
      <c r="F5" s="1"/>
      <c r="G5" s="1"/>
    </row>
    <row r="6" spans="1:7" ht="23.9" customHeight="1" x14ac:dyDescent="0.35">
      <c r="A6" s="16" t="s">
        <v>164</v>
      </c>
      <c r="B6" s="1" t="s">
        <v>379</v>
      </c>
      <c r="C6" s="1"/>
      <c r="D6" s="1"/>
      <c r="E6" s="1"/>
      <c r="F6" s="1"/>
      <c r="G6" s="1"/>
    </row>
    <row r="8" spans="1:7" x14ac:dyDescent="0.35">
      <c r="A8" s="7" t="s">
        <v>380</v>
      </c>
      <c r="B8" s="7" t="s">
        <v>381</v>
      </c>
      <c r="C8" s="7" t="s">
        <v>382</v>
      </c>
      <c r="D8" s="7" t="s">
        <v>383</v>
      </c>
    </row>
    <row r="9" spans="1:7" x14ac:dyDescent="0.35">
      <c r="A9" s="24">
        <v>1</v>
      </c>
      <c r="B9" s="10">
        <v>20</v>
      </c>
      <c r="C9" s="12" t="s">
        <v>384</v>
      </c>
      <c r="D9" s="12" t="s">
        <v>385</v>
      </c>
    </row>
    <row r="10" spans="1:7" x14ac:dyDescent="0.35">
      <c r="A10" s="10">
        <v>2</v>
      </c>
      <c r="B10" s="10">
        <v>10</v>
      </c>
      <c r="C10" s="10" t="s">
        <v>386</v>
      </c>
      <c r="D10" s="10" t="s">
        <v>387</v>
      </c>
    </row>
    <row r="11" spans="1:7" x14ac:dyDescent="0.35">
      <c r="A11" s="10">
        <v>3</v>
      </c>
      <c r="B11" s="10">
        <v>6</v>
      </c>
      <c r="C11" s="10" t="s">
        <v>388</v>
      </c>
      <c r="D11" s="10" t="s">
        <v>389</v>
      </c>
    </row>
    <row r="12" spans="1:7" ht="22.4" customHeight="1" x14ac:dyDescent="0.35">
      <c r="A12" s="2" t="s">
        <v>155</v>
      </c>
      <c r="B12" s="2"/>
      <c r="C12" s="2"/>
      <c r="D12" s="2"/>
    </row>
  </sheetData>
  <mergeCells count="4">
    <mergeCell ref="B4:G4"/>
    <mergeCell ref="B5:G5"/>
    <mergeCell ref="B6:G6"/>
    <mergeCell ref="A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"/>
  <sheetViews>
    <sheetView showGridLines="0" zoomScaleNormal="100" workbookViewId="0"/>
  </sheetViews>
  <sheetFormatPr defaultColWidth="8.6328125" defaultRowHeight="14.5" x14ac:dyDescent="0.35"/>
  <cols>
    <col min="1" max="1" width="20" customWidth="1"/>
    <col min="2" max="6" width="12" customWidth="1"/>
  </cols>
  <sheetData>
    <row r="1" spans="1:7" ht="18" x14ac:dyDescent="0.4">
      <c r="A1" s="5" t="s">
        <v>390</v>
      </c>
    </row>
    <row r="2" spans="1:7" x14ac:dyDescent="0.35">
      <c r="A2" s="6" t="s">
        <v>391</v>
      </c>
    </row>
    <row r="4" spans="1:7" ht="23.9" customHeight="1" x14ac:dyDescent="0.35">
      <c r="A4" s="16" t="s">
        <v>160</v>
      </c>
      <c r="B4" s="1" t="s">
        <v>392</v>
      </c>
      <c r="C4" s="1"/>
      <c r="D4" s="1"/>
      <c r="E4" s="1"/>
      <c r="F4" s="1"/>
      <c r="G4" s="1"/>
    </row>
    <row r="5" spans="1:7" ht="23.9" customHeight="1" x14ac:dyDescent="0.35">
      <c r="A5" s="16" t="s">
        <v>162</v>
      </c>
      <c r="B5" s="1" t="s">
        <v>393</v>
      </c>
      <c r="C5" s="1"/>
      <c r="D5" s="1"/>
      <c r="E5" s="1"/>
      <c r="F5" s="1"/>
      <c r="G5" s="1"/>
    </row>
    <row r="6" spans="1:7" ht="23.9" customHeight="1" x14ac:dyDescent="0.35">
      <c r="A6" s="16" t="s">
        <v>164</v>
      </c>
      <c r="B6" s="1" t="s">
        <v>394</v>
      </c>
      <c r="C6" s="1"/>
      <c r="D6" s="1"/>
      <c r="E6" s="1"/>
      <c r="F6" s="1"/>
      <c r="G6" s="1"/>
    </row>
    <row r="8" spans="1:7" x14ac:dyDescent="0.35">
      <c r="A8" s="23" t="s">
        <v>395</v>
      </c>
    </row>
    <row r="9" spans="1:7" x14ac:dyDescent="0.35">
      <c r="A9" s="7" t="s">
        <v>396</v>
      </c>
      <c r="B9" s="7" t="s">
        <v>397</v>
      </c>
      <c r="C9" s="7" t="s">
        <v>398</v>
      </c>
      <c r="D9" s="7" t="s">
        <v>399</v>
      </c>
      <c r="E9" s="7" t="s">
        <v>400</v>
      </c>
      <c r="F9" s="7" t="s">
        <v>401</v>
      </c>
    </row>
    <row r="10" spans="1:7" x14ac:dyDescent="0.35">
      <c r="A10" s="9" t="s">
        <v>286</v>
      </c>
      <c r="B10" s="10" t="s">
        <v>402</v>
      </c>
      <c r="C10" s="10" t="s">
        <v>403</v>
      </c>
      <c r="D10" s="12" t="s">
        <v>404</v>
      </c>
      <c r="E10" s="10" t="s">
        <v>405</v>
      </c>
      <c r="F10" s="10" t="s">
        <v>406</v>
      </c>
    </row>
    <row r="12" spans="1:7" x14ac:dyDescent="0.35">
      <c r="A12" s="23" t="s">
        <v>407</v>
      </c>
    </row>
    <row r="13" spans="1:7" x14ac:dyDescent="0.35">
      <c r="A13" s="7" t="s">
        <v>396</v>
      </c>
      <c r="B13" s="7" t="s">
        <v>408</v>
      </c>
      <c r="C13" s="7" t="s">
        <v>409</v>
      </c>
      <c r="D13" s="7" t="s">
        <v>410</v>
      </c>
      <c r="E13" s="7" t="s">
        <v>411</v>
      </c>
      <c r="F13" s="7" t="s">
        <v>412</v>
      </c>
    </row>
    <row r="14" spans="1:7" x14ac:dyDescent="0.35">
      <c r="A14" s="9" t="s">
        <v>286</v>
      </c>
      <c r="B14" s="10" t="s">
        <v>413</v>
      </c>
      <c r="C14" s="10" t="s">
        <v>414</v>
      </c>
      <c r="D14" s="12" t="s">
        <v>415</v>
      </c>
      <c r="E14" s="10" t="s">
        <v>416</v>
      </c>
      <c r="F14" s="10" t="s">
        <v>417</v>
      </c>
    </row>
    <row r="16" spans="1:7" x14ac:dyDescent="0.35">
      <c r="A16" s="23" t="s">
        <v>418</v>
      </c>
    </row>
    <row r="17" spans="1:6" x14ac:dyDescent="0.35">
      <c r="A17" s="7" t="s">
        <v>396</v>
      </c>
      <c r="B17" s="7" t="s">
        <v>419</v>
      </c>
      <c r="C17" s="7" t="s">
        <v>398</v>
      </c>
      <c r="D17" s="7" t="s">
        <v>420</v>
      </c>
      <c r="E17" s="7" t="s">
        <v>421</v>
      </c>
      <c r="F17" s="7" t="s">
        <v>422</v>
      </c>
    </row>
    <row r="18" spans="1:6" x14ac:dyDescent="0.35">
      <c r="A18" s="9" t="s">
        <v>286</v>
      </c>
      <c r="B18" s="10" t="s">
        <v>423</v>
      </c>
      <c r="C18" s="10" t="s">
        <v>424</v>
      </c>
      <c r="D18" s="12" t="s">
        <v>425</v>
      </c>
      <c r="E18" s="10" t="s">
        <v>426</v>
      </c>
      <c r="F18" s="10" t="s">
        <v>427</v>
      </c>
    </row>
    <row r="20" spans="1:6" ht="22.4" customHeight="1" x14ac:dyDescent="0.35">
      <c r="A20" s="2" t="s">
        <v>155</v>
      </c>
      <c r="B20" s="2"/>
      <c r="C20" s="2"/>
      <c r="D20" s="2"/>
      <c r="E20" s="2"/>
      <c r="F20" s="2"/>
    </row>
  </sheetData>
  <mergeCells count="4">
    <mergeCell ref="B4:G4"/>
    <mergeCell ref="B5:G5"/>
    <mergeCell ref="B6:G6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4"/>
  <sheetViews>
    <sheetView showGridLines="0" zoomScaleNormal="100" workbookViewId="0"/>
  </sheetViews>
  <sheetFormatPr defaultColWidth="8.6328125" defaultRowHeight="14.5" x14ac:dyDescent="0.35"/>
  <cols>
    <col min="1" max="3" width="22" customWidth="1"/>
  </cols>
  <sheetData>
    <row r="1" spans="1:7" ht="18" x14ac:dyDescent="0.4">
      <c r="A1" s="5" t="s">
        <v>428</v>
      </c>
    </row>
    <row r="2" spans="1:7" x14ac:dyDescent="0.35">
      <c r="A2" s="6" t="s">
        <v>429</v>
      </c>
    </row>
    <row r="4" spans="1:7" ht="15" customHeight="1" x14ac:dyDescent="0.35">
      <c r="A4" s="16" t="s">
        <v>160</v>
      </c>
      <c r="B4" s="1" t="s">
        <v>430</v>
      </c>
      <c r="C4" s="1"/>
      <c r="D4" s="1"/>
      <c r="E4" s="1"/>
      <c r="F4" s="1"/>
      <c r="G4" s="1"/>
    </row>
    <row r="5" spans="1:7" ht="23.9" customHeight="1" x14ac:dyDescent="0.35">
      <c r="A5" s="16" t="s">
        <v>162</v>
      </c>
      <c r="B5" s="1" t="s">
        <v>431</v>
      </c>
      <c r="C5" s="1"/>
      <c r="D5" s="1"/>
      <c r="E5" s="1"/>
      <c r="F5" s="1"/>
      <c r="G5" s="1"/>
    </row>
    <row r="6" spans="1:7" ht="15" customHeight="1" x14ac:dyDescent="0.35">
      <c r="A6" s="16" t="s">
        <v>164</v>
      </c>
      <c r="B6" s="1" t="s">
        <v>432</v>
      </c>
      <c r="C6" s="1"/>
      <c r="D6" s="1"/>
      <c r="E6" s="1"/>
      <c r="F6" s="1"/>
      <c r="G6" s="1"/>
    </row>
    <row r="8" spans="1:7" x14ac:dyDescent="0.35">
      <c r="A8" s="7" t="s">
        <v>433</v>
      </c>
      <c r="B8" s="7" t="s">
        <v>286</v>
      </c>
      <c r="C8" s="7" t="s">
        <v>434</v>
      </c>
    </row>
    <row r="9" spans="1:7" x14ac:dyDescent="0.35">
      <c r="A9" s="21" t="s">
        <v>435</v>
      </c>
      <c r="B9" s="12" t="s">
        <v>436</v>
      </c>
      <c r="C9" s="12" t="s">
        <v>437</v>
      </c>
    </row>
    <row r="10" spans="1:7" x14ac:dyDescent="0.35">
      <c r="A10" s="9" t="s">
        <v>438</v>
      </c>
      <c r="B10" s="10" t="s">
        <v>439</v>
      </c>
      <c r="C10" s="10" t="s">
        <v>440</v>
      </c>
    </row>
    <row r="11" spans="1:7" x14ac:dyDescent="0.35">
      <c r="A11" s="9" t="s">
        <v>441</v>
      </c>
      <c r="B11" s="10" t="s">
        <v>442</v>
      </c>
      <c r="C11" s="10" t="s">
        <v>443</v>
      </c>
    </row>
    <row r="12" spans="1:7" x14ac:dyDescent="0.35">
      <c r="A12" s="9" t="s">
        <v>444</v>
      </c>
      <c r="B12" s="10" t="s">
        <v>445</v>
      </c>
      <c r="C12" s="10" t="s">
        <v>446</v>
      </c>
    </row>
    <row r="13" spans="1:7" x14ac:dyDescent="0.35">
      <c r="A13" s="9" t="s">
        <v>447</v>
      </c>
      <c r="B13" s="10" t="s">
        <v>448</v>
      </c>
      <c r="C13" s="10" t="s">
        <v>449</v>
      </c>
    </row>
    <row r="14" spans="1:7" ht="22.4" customHeight="1" x14ac:dyDescent="0.35">
      <c r="A14" s="2" t="s">
        <v>155</v>
      </c>
      <c r="B14" s="2"/>
      <c r="C14" s="2"/>
    </row>
  </sheetData>
  <mergeCells count="4">
    <mergeCell ref="B4:G4"/>
    <mergeCell ref="B5:G5"/>
    <mergeCell ref="B6:G6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9"/>
  <sheetViews>
    <sheetView showGridLines="0" zoomScaleNormal="100" workbookViewId="0"/>
  </sheetViews>
  <sheetFormatPr defaultColWidth="8.6328125" defaultRowHeight="14.5" x14ac:dyDescent="0.35"/>
  <cols>
    <col min="1" max="1" width="15" customWidth="1"/>
    <col min="2" max="2" width="8" customWidth="1"/>
    <col min="3" max="5" width="24" customWidth="1"/>
  </cols>
  <sheetData>
    <row r="1" spans="1:7" ht="18" x14ac:dyDescent="0.4">
      <c r="A1" s="5" t="s">
        <v>450</v>
      </c>
    </row>
    <row r="2" spans="1:7" x14ac:dyDescent="0.35">
      <c r="A2" s="6" t="s">
        <v>451</v>
      </c>
    </row>
    <row r="4" spans="1:7" ht="23.9" customHeight="1" x14ac:dyDescent="0.35">
      <c r="A4" s="16" t="s">
        <v>160</v>
      </c>
      <c r="B4" s="1" t="s">
        <v>452</v>
      </c>
      <c r="C4" s="1"/>
      <c r="D4" s="1"/>
      <c r="E4" s="1"/>
      <c r="F4" s="1"/>
      <c r="G4" s="1"/>
    </row>
    <row r="5" spans="1:7" ht="35" customHeight="1" x14ac:dyDescent="0.35">
      <c r="A5" s="16" t="s">
        <v>162</v>
      </c>
      <c r="B5" s="1" t="s">
        <v>453</v>
      </c>
      <c r="C5" s="1"/>
      <c r="D5" s="1"/>
      <c r="E5" s="1"/>
      <c r="F5" s="1"/>
      <c r="G5" s="1"/>
    </row>
    <row r="6" spans="1:7" ht="23.9" customHeight="1" x14ac:dyDescent="0.35">
      <c r="A6" s="16" t="s">
        <v>164</v>
      </c>
      <c r="B6" s="1" t="s">
        <v>454</v>
      </c>
      <c r="C6" s="1"/>
      <c r="D6" s="1"/>
      <c r="E6" s="1"/>
      <c r="F6" s="1"/>
      <c r="G6" s="1"/>
    </row>
    <row r="8" spans="1:7" x14ac:dyDescent="0.35">
      <c r="A8" s="7" t="s">
        <v>82</v>
      </c>
      <c r="B8" s="7" t="s">
        <v>83</v>
      </c>
      <c r="C8" s="7" t="s">
        <v>455</v>
      </c>
      <c r="D8" s="7" t="s">
        <v>456</v>
      </c>
      <c r="E8" s="7" t="s">
        <v>457</v>
      </c>
    </row>
    <row r="9" spans="1:7" x14ac:dyDescent="0.35">
      <c r="A9" s="11" t="s">
        <v>92</v>
      </c>
      <c r="B9" s="10" t="s">
        <v>93</v>
      </c>
      <c r="C9" s="14">
        <v>0.9</v>
      </c>
      <c r="D9" s="14">
        <v>1.38</v>
      </c>
      <c r="E9" s="14">
        <v>0.61</v>
      </c>
    </row>
    <row r="10" spans="1:7" x14ac:dyDescent="0.35">
      <c r="A10" s="11" t="s">
        <v>92</v>
      </c>
      <c r="B10" s="10" t="s">
        <v>101</v>
      </c>
      <c r="C10" s="14">
        <v>0.85</v>
      </c>
      <c r="D10" s="14">
        <v>1.62</v>
      </c>
      <c r="E10" s="14">
        <v>0.42</v>
      </c>
    </row>
    <row r="11" spans="1:7" x14ac:dyDescent="0.35">
      <c r="A11" s="11" t="s">
        <v>108</v>
      </c>
      <c r="B11" s="10" t="s">
        <v>93</v>
      </c>
      <c r="C11" s="14">
        <v>0.92</v>
      </c>
      <c r="D11" s="14">
        <v>1.35</v>
      </c>
      <c r="E11" s="14">
        <v>0.6</v>
      </c>
    </row>
    <row r="12" spans="1:7" x14ac:dyDescent="0.35">
      <c r="A12" s="11" t="s">
        <v>108</v>
      </c>
      <c r="B12" s="10" t="s">
        <v>101</v>
      </c>
      <c r="C12" s="14">
        <v>0.91</v>
      </c>
      <c r="D12" s="14">
        <v>1.3</v>
      </c>
      <c r="E12" s="14">
        <v>0.48</v>
      </c>
    </row>
    <row r="13" spans="1:7" x14ac:dyDescent="0.35">
      <c r="A13" s="11" t="s">
        <v>121</v>
      </c>
      <c r="B13" s="10" t="s">
        <v>93</v>
      </c>
      <c r="C13" s="14">
        <v>0.94</v>
      </c>
      <c r="D13" s="14">
        <v>1.31</v>
      </c>
      <c r="E13" s="14">
        <v>0.63</v>
      </c>
    </row>
    <row r="14" spans="1:7" x14ac:dyDescent="0.35">
      <c r="A14" s="11" t="s">
        <v>121</v>
      </c>
      <c r="B14" s="10" t="s">
        <v>101</v>
      </c>
      <c r="C14" s="14">
        <v>0.91</v>
      </c>
      <c r="D14" s="14">
        <v>1.43</v>
      </c>
      <c r="E14" s="14">
        <v>0.44</v>
      </c>
    </row>
    <row r="15" spans="1:7" x14ac:dyDescent="0.35">
      <c r="A15" s="11" t="s">
        <v>129</v>
      </c>
      <c r="B15" s="10" t="s">
        <v>93</v>
      </c>
      <c r="C15" s="14">
        <v>0.81</v>
      </c>
      <c r="D15" s="14">
        <v>1.78</v>
      </c>
      <c r="E15" s="14">
        <v>0.56999999999999995</v>
      </c>
    </row>
    <row r="16" spans="1:7" x14ac:dyDescent="0.35">
      <c r="A16" s="11" t="s">
        <v>129</v>
      </c>
      <c r="B16" s="10" t="s">
        <v>101</v>
      </c>
      <c r="C16" s="14">
        <v>0.77</v>
      </c>
      <c r="D16" s="14">
        <v>1.91</v>
      </c>
      <c r="E16" s="14">
        <v>0.51</v>
      </c>
    </row>
    <row r="17" spans="1:5" x14ac:dyDescent="0.35">
      <c r="A17" s="11" t="s">
        <v>142</v>
      </c>
      <c r="B17" s="10" t="s">
        <v>93</v>
      </c>
      <c r="C17" s="14">
        <v>0.84</v>
      </c>
      <c r="D17" s="14">
        <v>1.71</v>
      </c>
      <c r="E17" s="14">
        <v>0.5</v>
      </c>
    </row>
    <row r="18" spans="1:5" x14ac:dyDescent="0.35">
      <c r="A18" s="11" t="s">
        <v>142</v>
      </c>
      <c r="B18" s="10" t="s">
        <v>101</v>
      </c>
      <c r="C18" s="14">
        <v>0.78</v>
      </c>
      <c r="D18" s="14">
        <v>1.86</v>
      </c>
      <c r="E18" s="14">
        <v>0.64</v>
      </c>
    </row>
    <row r="19" spans="1:5" ht="22.4" customHeight="1" x14ac:dyDescent="0.35">
      <c r="A19" s="2" t="s">
        <v>155</v>
      </c>
      <c r="B19" s="2"/>
      <c r="C19" s="2"/>
      <c r="D19" s="2"/>
      <c r="E19" s="2"/>
    </row>
  </sheetData>
  <mergeCells count="4">
    <mergeCell ref="B4:G4"/>
    <mergeCell ref="B5:G5"/>
    <mergeCell ref="B6:G6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3"/>
  <sheetViews>
    <sheetView showGridLines="0" zoomScaleNormal="100" workbookViewId="0"/>
  </sheetViews>
  <sheetFormatPr defaultColWidth="8.6328125" defaultRowHeight="14.5" x14ac:dyDescent="0.35"/>
  <cols>
    <col min="1" max="1" width="20" customWidth="1"/>
    <col min="2" max="7" width="12" customWidth="1"/>
  </cols>
  <sheetData>
    <row r="1" spans="1:7" ht="18" x14ac:dyDescent="0.4">
      <c r="A1" s="5" t="s">
        <v>458</v>
      </c>
    </row>
    <row r="2" spans="1:7" x14ac:dyDescent="0.35">
      <c r="A2" s="6" t="s">
        <v>459</v>
      </c>
    </row>
    <row r="4" spans="1:7" ht="23.9" customHeight="1" x14ac:dyDescent="0.35">
      <c r="A4" s="16" t="s">
        <v>160</v>
      </c>
      <c r="B4" s="1" t="s">
        <v>460</v>
      </c>
      <c r="C4" s="1"/>
      <c r="D4" s="1"/>
      <c r="E4" s="1"/>
      <c r="F4" s="1"/>
      <c r="G4" s="1"/>
    </row>
    <row r="5" spans="1:7" ht="23.9" customHeight="1" x14ac:dyDescent="0.35">
      <c r="A5" s="16" t="s">
        <v>162</v>
      </c>
      <c r="B5" s="1" t="s">
        <v>461</v>
      </c>
      <c r="C5" s="1"/>
      <c r="D5" s="1"/>
      <c r="E5" s="1"/>
      <c r="F5" s="1"/>
      <c r="G5" s="1"/>
    </row>
    <row r="6" spans="1:7" ht="23.9" customHeight="1" x14ac:dyDescent="0.35">
      <c r="A6" s="16" t="s">
        <v>164</v>
      </c>
      <c r="B6" s="1" t="s">
        <v>462</v>
      </c>
      <c r="C6" s="1"/>
      <c r="D6" s="1"/>
      <c r="E6" s="1"/>
      <c r="F6" s="1"/>
      <c r="G6" s="1"/>
    </row>
    <row r="8" spans="1:7" x14ac:dyDescent="0.35">
      <c r="A8" s="7" t="s">
        <v>463</v>
      </c>
      <c r="B8" s="7" t="s">
        <v>438</v>
      </c>
      <c r="C8" s="7" t="s">
        <v>441</v>
      </c>
      <c r="D8" s="7" t="s">
        <v>444</v>
      </c>
      <c r="E8" s="7" t="s">
        <v>447</v>
      </c>
      <c r="F8" s="7" t="s">
        <v>464</v>
      </c>
      <c r="G8" s="7" t="s">
        <v>465</v>
      </c>
    </row>
    <row r="9" spans="1:7" x14ac:dyDescent="0.35">
      <c r="A9" s="9" t="s">
        <v>466</v>
      </c>
      <c r="B9" s="10">
        <v>31</v>
      </c>
      <c r="C9" s="22">
        <v>58</v>
      </c>
      <c r="D9" s="10">
        <v>34</v>
      </c>
      <c r="E9" s="10">
        <v>12</v>
      </c>
      <c r="F9" s="10">
        <v>4</v>
      </c>
      <c r="G9" s="10">
        <v>41</v>
      </c>
    </row>
    <row r="10" spans="1:7" x14ac:dyDescent="0.35">
      <c r="A10" s="9" t="s">
        <v>467</v>
      </c>
      <c r="B10" s="10">
        <v>27</v>
      </c>
      <c r="C10" s="22">
        <v>49</v>
      </c>
      <c r="D10" s="10">
        <v>29</v>
      </c>
      <c r="E10" s="10">
        <v>15</v>
      </c>
      <c r="F10" s="10">
        <v>6</v>
      </c>
      <c r="G10" s="10">
        <v>54</v>
      </c>
    </row>
    <row r="11" spans="1:7" x14ac:dyDescent="0.35">
      <c r="A11" s="9" t="s">
        <v>468</v>
      </c>
      <c r="B11" s="10">
        <v>35</v>
      </c>
      <c r="C11" s="22">
        <v>52</v>
      </c>
      <c r="D11" s="10">
        <v>26</v>
      </c>
      <c r="E11" s="10">
        <v>9</v>
      </c>
      <c r="F11" s="10">
        <v>3</v>
      </c>
      <c r="G11" s="10">
        <v>55</v>
      </c>
    </row>
    <row r="12" spans="1:7" x14ac:dyDescent="0.35">
      <c r="A12" s="9" t="s">
        <v>469</v>
      </c>
      <c r="B12" s="10">
        <v>44</v>
      </c>
      <c r="C12" s="22">
        <v>71</v>
      </c>
      <c r="D12" s="10">
        <v>38</v>
      </c>
      <c r="E12" s="10">
        <v>14</v>
      </c>
      <c r="F12" s="10">
        <v>5</v>
      </c>
      <c r="G12" s="10">
        <v>208</v>
      </c>
    </row>
    <row r="13" spans="1:7" ht="22.4" customHeight="1" x14ac:dyDescent="0.35">
      <c r="A13" s="2" t="s">
        <v>155</v>
      </c>
      <c r="B13" s="2"/>
      <c r="C13" s="2"/>
      <c r="D13" s="2"/>
      <c r="E13" s="2"/>
      <c r="F13" s="2"/>
      <c r="G13" s="2"/>
    </row>
  </sheetData>
  <mergeCells count="4">
    <mergeCell ref="B4:G4"/>
    <mergeCell ref="B5:G5"/>
    <mergeCell ref="B6:G6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9"/>
  <sheetViews>
    <sheetView showGridLines="0" zoomScaleNormal="100" workbookViewId="0"/>
  </sheetViews>
  <sheetFormatPr defaultColWidth="8.6328125" defaultRowHeight="14.5" x14ac:dyDescent="0.35"/>
  <cols>
    <col min="1" max="1" width="15" customWidth="1"/>
    <col min="2" max="2" width="8" customWidth="1"/>
    <col min="3" max="4" width="12" customWidth="1"/>
    <col min="5" max="5" width="36" customWidth="1"/>
  </cols>
  <sheetData>
    <row r="1" spans="1:7" ht="18" x14ac:dyDescent="0.4">
      <c r="A1" s="5" t="s">
        <v>470</v>
      </c>
    </row>
    <row r="2" spans="1:7" x14ac:dyDescent="0.35">
      <c r="A2" s="6" t="s">
        <v>471</v>
      </c>
    </row>
    <row r="4" spans="1:7" ht="15" customHeight="1" x14ac:dyDescent="0.35">
      <c r="A4" s="16" t="s">
        <v>160</v>
      </c>
      <c r="B4" s="1" t="s">
        <v>472</v>
      </c>
      <c r="C4" s="1"/>
      <c r="D4" s="1"/>
      <c r="E4" s="1"/>
      <c r="F4" s="1"/>
      <c r="G4" s="1"/>
    </row>
    <row r="5" spans="1:7" ht="35" customHeight="1" x14ac:dyDescent="0.35">
      <c r="A5" s="16" t="s">
        <v>162</v>
      </c>
      <c r="B5" s="1" t="s">
        <v>473</v>
      </c>
      <c r="C5" s="1"/>
      <c r="D5" s="1"/>
      <c r="E5" s="1"/>
      <c r="F5" s="1"/>
      <c r="G5" s="1"/>
    </row>
    <row r="6" spans="1:7" ht="23.9" customHeight="1" x14ac:dyDescent="0.35">
      <c r="A6" s="16" t="s">
        <v>164</v>
      </c>
      <c r="B6" s="1" t="s">
        <v>474</v>
      </c>
      <c r="C6" s="1"/>
      <c r="D6" s="1"/>
      <c r="E6" s="1"/>
      <c r="F6" s="1"/>
      <c r="G6" s="1"/>
    </row>
    <row r="8" spans="1:7" x14ac:dyDescent="0.35">
      <c r="A8" s="7" t="s">
        <v>82</v>
      </c>
      <c r="B8" s="7" t="s">
        <v>83</v>
      </c>
      <c r="C8" s="7" t="s">
        <v>475</v>
      </c>
      <c r="D8" s="7" t="s">
        <v>476</v>
      </c>
      <c r="E8" s="7" t="s">
        <v>477</v>
      </c>
    </row>
    <row r="9" spans="1:7" x14ac:dyDescent="0.35">
      <c r="A9" s="11" t="s">
        <v>92</v>
      </c>
      <c r="B9" s="10" t="s">
        <v>93</v>
      </c>
      <c r="C9" s="25">
        <v>100</v>
      </c>
      <c r="D9" s="25">
        <v>0</v>
      </c>
      <c r="E9" s="9" t="s">
        <v>478</v>
      </c>
    </row>
    <row r="10" spans="1:7" x14ac:dyDescent="0.35">
      <c r="A10" s="11" t="s">
        <v>92</v>
      </c>
      <c r="B10" s="10" t="s">
        <v>101</v>
      </c>
      <c r="C10" s="25">
        <v>100</v>
      </c>
      <c r="D10" s="25">
        <v>0</v>
      </c>
      <c r="E10" s="9" t="s">
        <v>478</v>
      </c>
    </row>
    <row r="11" spans="1:7" x14ac:dyDescent="0.35">
      <c r="A11" s="11" t="s">
        <v>108</v>
      </c>
      <c r="B11" s="10" t="s">
        <v>93</v>
      </c>
      <c r="C11" s="25">
        <v>72</v>
      </c>
      <c r="D11" s="25">
        <v>28</v>
      </c>
      <c r="E11" s="9" t="s">
        <v>479</v>
      </c>
    </row>
    <row r="12" spans="1:7" x14ac:dyDescent="0.35">
      <c r="A12" s="11" t="s">
        <v>108</v>
      </c>
      <c r="B12" s="10" t="s">
        <v>101</v>
      </c>
      <c r="C12" s="25">
        <v>81</v>
      </c>
      <c r="D12" s="25">
        <v>19</v>
      </c>
      <c r="E12" s="9" t="s">
        <v>479</v>
      </c>
    </row>
    <row r="13" spans="1:7" x14ac:dyDescent="0.35">
      <c r="A13" s="11" t="s">
        <v>121</v>
      </c>
      <c r="B13" s="10" t="s">
        <v>93</v>
      </c>
      <c r="C13" s="25">
        <v>82</v>
      </c>
      <c r="D13" s="25">
        <v>18</v>
      </c>
      <c r="E13" s="9" t="s">
        <v>480</v>
      </c>
    </row>
    <row r="14" spans="1:7" x14ac:dyDescent="0.35">
      <c r="A14" s="11" t="s">
        <v>121</v>
      </c>
      <c r="B14" s="10" t="s">
        <v>101</v>
      </c>
      <c r="C14" s="25">
        <v>81</v>
      </c>
      <c r="D14" s="25">
        <v>19</v>
      </c>
      <c r="E14" s="9" t="s">
        <v>480</v>
      </c>
    </row>
    <row r="15" spans="1:7" x14ac:dyDescent="0.35">
      <c r="A15" s="11" t="s">
        <v>129</v>
      </c>
      <c r="B15" s="10" t="s">
        <v>93</v>
      </c>
      <c r="C15" s="25">
        <v>100</v>
      </c>
      <c r="D15" s="25">
        <v>0</v>
      </c>
      <c r="E15" s="9" t="s">
        <v>481</v>
      </c>
    </row>
    <row r="16" spans="1:7" x14ac:dyDescent="0.35">
      <c r="A16" s="11" t="s">
        <v>129</v>
      </c>
      <c r="B16" s="10" t="s">
        <v>101</v>
      </c>
      <c r="C16" s="25">
        <v>100</v>
      </c>
      <c r="D16" s="25">
        <v>0</v>
      </c>
      <c r="E16" s="9" t="s">
        <v>481</v>
      </c>
    </row>
    <row r="17" spans="1:5" x14ac:dyDescent="0.35">
      <c r="A17" s="11" t="s">
        <v>142</v>
      </c>
      <c r="B17" s="10" t="s">
        <v>93</v>
      </c>
      <c r="C17" s="25">
        <v>70</v>
      </c>
      <c r="D17" s="25">
        <v>30</v>
      </c>
      <c r="E17" s="9" t="s">
        <v>479</v>
      </c>
    </row>
    <row r="18" spans="1:5" x14ac:dyDescent="0.35">
      <c r="A18" s="11" t="s">
        <v>142</v>
      </c>
      <c r="B18" s="10" t="s">
        <v>101</v>
      </c>
      <c r="C18" s="25">
        <v>79</v>
      </c>
      <c r="D18" s="25">
        <v>21</v>
      </c>
      <c r="E18" s="9" t="s">
        <v>479</v>
      </c>
    </row>
    <row r="19" spans="1:5" ht="22.4" customHeight="1" x14ac:dyDescent="0.35">
      <c r="A19" s="2" t="s">
        <v>155</v>
      </c>
      <c r="B19" s="2"/>
      <c r="C19" s="2"/>
      <c r="D19" s="2"/>
      <c r="E19" s="2"/>
    </row>
  </sheetData>
  <mergeCells count="4">
    <mergeCell ref="B4:G4"/>
    <mergeCell ref="B5:G5"/>
    <mergeCell ref="B6:G6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9"/>
  <sheetViews>
    <sheetView showGridLines="0" topLeftCell="A4" zoomScaleNormal="100" workbookViewId="0"/>
  </sheetViews>
  <sheetFormatPr defaultColWidth="8.6328125" defaultRowHeight="14.5" x14ac:dyDescent="0.35"/>
  <cols>
    <col min="1" max="1" width="10" customWidth="1"/>
    <col min="2" max="2" width="16" customWidth="1"/>
    <col min="3" max="3" width="24" customWidth="1"/>
  </cols>
  <sheetData>
    <row r="1" spans="1:7" ht="18" x14ac:dyDescent="0.4">
      <c r="A1" s="5" t="s">
        <v>482</v>
      </c>
    </row>
    <row r="2" spans="1:7" x14ac:dyDescent="0.35">
      <c r="A2" s="6" t="s">
        <v>483</v>
      </c>
    </row>
    <row r="4" spans="1:7" ht="23.9" customHeight="1" x14ac:dyDescent="0.35">
      <c r="A4" s="16" t="s">
        <v>160</v>
      </c>
      <c r="B4" s="1" t="s">
        <v>484</v>
      </c>
      <c r="C4" s="1"/>
      <c r="D4" s="1"/>
      <c r="E4" s="1"/>
      <c r="F4" s="1"/>
      <c r="G4" s="1"/>
    </row>
    <row r="5" spans="1:7" ht="46.25" customHeight="1" x14ac:dyDescent="0.35">
      <c r="A5" s="16" t="s">
        <v>162</v>
      </c>
      <c r="B5" s="1" t="s">
        <v>485</v>
      </c>
      <c r="C5" s="1"/>
      <c r="D5" s="1"/>
      <c r="E5" s="1"/>
      <c r="F5" s="1"/>
      <c r="G5" s="1"/>
    </row>
    <row r="6" spans="1:7" ht="35" customHeight="1" x14ac:dyDescent="0.35">
      <c r="A6" s="16" t="s">
        <v>164</v>
      </c>
      <c r="B6" s="1" t="s">
        <v>486</v>
      </c>
      <c r="C6" s="1"/>
      <c r="D6" s="1"/>
      <c r="E6" s="1"/>
      <c r="F6" s="1"/>
      <c r="G6" s="1"/>
    </row>
    <row r="8" spans="1:7" x14ac:dyDescent="0.35">
      <c r="A8" s="7" t="s">
        <v>487</v>
      </c>
      <c r="B8" s="7" t="s">
        <v>488</v>
      </c>
      <c r="C8" s="7" t="s">
        <v>489</v>
      </c>
    </row>
    <row r="9" spans="1:7" x14ac:dyDescent="0.35">
      <c r="A9" s="10">
        <v>1</v>
      </c>
      <c r="B9" s="10">
        <v>42</v>
      </c>
      <c r="C9" s="10"/>
    </row>
    <row r="10" spans="1:7" x14ac:dyDescent="0.35">
      <c r="A10" s="10">
        <v>2</v>
      </c>
      <c r="B10" s="10">
        <v>38</v>
      </c>
      <c r="C10" s="10"/>
    </row>
    <row r="11" spans="1:7" x14ac:dyDescent="0.35">
      <c r="A11" s="10">
        <v>3</v>
      </c>
      <c r="B11" s="10">
        <v>35</v>
      </c>
      <c r="C11" s="10"/>
    </row>
    <row r="12" spans="1:7" x14ac:dyDescent="0.35">
      <c r="A12" s="10">
        <v>4</v>
      </c>
      <c r="B12" s="10">
        <v>31</v>
      </c>
      <c r="C12" s="10"/>
    </row>
    <row r="13" spans="1:7" x14ac:dyDescent="0.35">
      <c r="A13" s="10">
        <v>5</v>
      </c>
      <c r="B13" s="10">
        <v>29</v>
      </c>
      <c r="C13" s="10"/>
    </row>
    <row r="14" spans="1:7" x14ac:dyDescent="0.35">
      <c r="A14" s="10">
        <v>6</v>
      </c>
      <c r="B14" s="10">
        <v>26</v>
      </c>
      <c r="C14" s="10"/>
    </row>
    <row r="15" spans="1:7" x14ac:dyDescent="0.35">
      <c r="A15" s="10">
        <v>7</v>
      </c>
      <c r="B15" s="10">
        <v>24</v>
      </c>
      <c r="C15" s="10"/>
    </row>
    <row r="16" spans="1:7" x14ac:dyDescent="0.35">
      <c r="A16" s="10">
        <v>8</v>
      </c>
      <c r="B16" s="10">
        <v>21</v>
      </c>
      <c r="C16" s="10"/>
    </row>
    <row r="17" spans="1:3" x14ac:dyDescent="0.35">
      <c r="A17" s="10">
        <v>9</v>
      </c>
      <c r="B17" s="10">
        <v>18</v>
      </c>
      <c r="C17" s="10"/>
    </row>
    <row r="18" spans="1:3" x14ac:dyDescent="0.35">
      <c r="A18" s="10">
        <v>10</v>
      </c>
      <c r="B18" s="10">
        <v>16</v>
      </c>
      <c r="C18" s="10"/>
    </row>
    <row r="19" spans="1:3" x14ac:dyDescent="0.35">
      <c r="A19" s="10">
        <v>11</v>
      </c>
      <c r="B19" s="10">
        <v>14</v>
      </c>
      <c r="C19" s="10"/>
    </row>
    <row r="20" spans="1:3" x14ac:dyDescent="0.35">
      <c r="A20" s="10">
        <v>12</v>
      </c>
      <c r="B20" s="10">
        <v>11</v>
      </c>
      <c r="C20" s="10"/>
    </row>
    <row r="21" spans="1:3" x14ac:dyDescent="0.35">
      <c r="A21" s="10">
        <v>13</v>
      </c>
      <c r="B21" s="10">
        <v>9</v>
      </c>
      <c r="C21" s="10"/>
    </row>
    <row r="22" spans="1:3" x14ac:dyDescent="0.35">
      <c r="A22" s="10">
        <v>14</v>
      </c>
      <c r="B22" s="10">
        <v>7</v>
      </c>
      <c r="C22" s="10"/>
    </row>
    <row r="23" spans="1:3" x14ac:dyDescent="0.35">
      <c r="A23" s="10">
        <v>15</v>
      </c>
      <c r="B23" s="10">
        <v>6</v>
      </c>
      <c r="C23" s="10"/>
    </row>
    <row r="24" spans="1:3" x14ac:dyDescent="0.35">
      <c r="A24" s="10">
        <v>16</v>
      </c>
      <c r="B24" s="10">
        <v>5</v>
      </c>
      <c r="C24" s="10"/>
    </row>
    <row r="25" spans="1:3" x14ac:dyDescent="0.35">
      <c r="A25" s="10">
        <v>17</v>
      </c>
      <c r="B25" s="10">
        <v>4</v>
      </c>
      <c r="C25" s="10"/>
    </row>
    <row r="26" spans="1:3" x14ac:dyDescent="0.35">
      <c r="A26" s="10">
        <v>18</v>
      </c>
      <c r="B26" s="10">
        <v>3</v>
      </c>
      <c r="C26" s="26" t="s">
        <v>490</v>
      </c>
    </row>
    <row r="27" spans="1:3" x14ac:dyDescent="0.35">
      <c r="A27" s="10">
        <v>19</v>
      </c>
      <c r="B27" s="10">
        <v>3</v>
      </c>
      <c r="C27" s="26" t="s">
        <v>490</v>
      </c>
    </row>
    <row r="28" spans="1:3" x14ac:dyDescent="0.35">
      <c r="A28" s="10">
        <v>20</v>
      </c>
      <c r="B28" s="10">
        <v>2</v>
      </c>
      <c r="C28" s="26" t="s">
        <v>490</v>
      </c>
    </row>
    <row r="29" spans="1:3" ht="32.75" customHeight="1" x14ac:dyDescent="0.35">
      <c r="A29" s="2" t="s">
        <v>155</v>
      </c>
      <c r="B29" s="2"/>
      <c r="C29" s="2"/>
    </row>
  </sheetData>
  <mergeCells count="4">
    <mergeCell ref="B4:G4"/>
    <mergeCell ref="B5:G5"/>
    <mergeCell ref="B6:G6"/>
    <mergeCell ref="A29:C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4"/>
  <sheetViews>
    <sheetView showGridLines="0" zoomScaleNormal="100" workbookViewId="0"/>
  </sheetViews>
  <sheetFormatPr defaultColWidth="8.6328125" defaultRowHeight="14.5" x14ac:dyDescent="0.35"/>
  <cols>
    <col min="1" max="1" width="15" customWidth="1"/>
    <col min="2" max="2" width="8" customWidth="1"/>
    <col min="3" max="7" width="16" customWidth="1"/>
  </cols>
  <sheetData>
    <row r="1" spans="1:7" ht="18" x14ac:dyDescent="0.4">
      <c r="A1" s="5" t="s">
        <v>491</v>
      </c>
    </row>
    <row r="2" spans="1:7" x14ac:dyDescent="0.35">
      <c r="A2" s="6" t="s">
        <v>492</v>
      </c>
    </row>
    <row r="4" spans="1:7" ht="23.9" customHeight="1" x14ac:dyDescent="0.35">
      <c r="A4" s="16" t="s">
        <v>160</v>
      </c>
      <c r="B4" s="1" t="s">
        <v>493</v>
      </c>
      <c r="C4" s="1"/>
      <c r="D4" s="1"/>
      <c r="E4" s="1"/>
      <c r="F4" s="1"/>
      <c r="G4" s="1"/>
    </row>
    <row r="5" spans="1:7" ht="35" customHeight="1" x14ac:dyDescent="0.35">
      <c r="A5" s="16" t="s">
        <v>162</v>
      </c>
      <c r="B5" s="1" t="s">
        <v>494</v>
      </c>
      <c r="C5" s="1"/>
      <c r="D5" s="1"/>
      <c r="E5" s="1"/>
      <c r="F5" s="1"/>
      <c r="G5" s="1"/>
    </row>
    <row r="6" spans="1:7" ht="23.9" customHeight="1" x14ac:dyDescent="0.35">
      <c r="A6" s="16" t="s">
        <v>164</v>
      </c>
      <c r="B6" s="1" t="s">
        <v>495</v>
      </c>
      <c r="C6" s="1"/>
      <c r="D6" s="1"/>
      <c r="E6" s="1"/>
      <c r="F6" s="1"/>
      <c r="G6" s="1"/>
    </row>
    <row r="8" spans="1:7" x14ac:dyDescent="0.35">
      <c r="A8" s="7" t="s">
        <v>82</v>
      </c>
      <c r="B8" s="7" t="s">
        <v>83</v>
      </c>
      <c r="C8" s="7" t="s">
        <v>496</v>
      </c>
      <c r="D8" s="7" t="s">
        <v>497</v>
      </c>
      <c r="E8" s="7" t="s">
        <v>498</v>
      </c>
      <c r="F8" s="7" t="s">
        <v>499</v>
      </c>
      <c r="G8" s="7" t="s">
        <v>500</v>
      </c>
    </row>
    <row r="9" spans="1:7" x14ac:dyDescent="0.35">
      <c r="A9" s="11" t="s">
        <v>108</v>
      </c>
      <c r="B9" s="10" t="s">
        <v>93</v>
      </c>
      <c r="C9" s="20">
        <v>3.1</v>
      </c>
      <c r="D9" s="20">
        <v>41</v>
      </c>
      <c r="E9" s="27">
        <v>2343</v>
      </c>
      <c r="F9" s="27">
        <v>12283</v>
      </c>
      <c r="G9" s="28">
        <f>D9/C9</f>
        <v>13.225806451612902</v>
      </c>
    </row>
    <row r="10" spans="1:7" x14ac:dyDescent="0.35">
      <c r="A10" s="11" t="s">
        <v>108</v>
      </c>
      <c r="B10" s="10" t="s">
        <v>101</v>
      </c>
      <c r="C10" s="20">
        <v>4.4000000000000004</v>
      </c>
      <c r="D10" s="20">
        <v>58</v>
      </c>
      <c r="E10" s="27">
        <v>3421</v>
      </c>
      <c r="F10" s="27">
        <v>11745</v>
      </c>
      <c r="G10" s="28">
        <f>D10/C10</f>
        <v>13.18181818181818</v>
      </c>
    </row>
    <row r="11" spans="1:7" x14ac:dyDescent="0.35">
      <c r="A11" s="11" t="s">
        <v>129</v>
      </c>
      <c r="B11" s="10" t="s">
        <v>101</v>
      </c>
      <c r="C11" s="20">
        <v>4.9000000000000004</v>
      </c>
      <c r="D11" s="20">
        <v>63</v>
      </c>
      <c r="E11" s="27">
        <v>3431</v>
      </c>
      <c r="F11" s="27">
        <v>15305</v>
      </c>
      <c r="G11" s="28">
        <f>D11/C11</f>
        <v>12.857142857142856</v>
      </c>
    </row>
    <row r="12" spans="1:7" x14ac:dyDescent="0.35">
      <c r="A12" s="11" t="s">
        <v>142</v>
      </c>
      <c r="B12" s="10" t="s">
        <v>101</v>
      </c>
      <c r="C12" s="20">
        <v>4.2</v>
      </c>
      <c r="D12" s="20">
        <v>55</v>
      </c>
      <c r="E12" s="27">
        <v>2759</v>
      </c>
      <c r="F12" s="27">
        <v>11450</v>
      </c>
      <c r="G12" s="28">
        <f>D12/C12</f>
        <v>13.095238095238095</v>
      </c>
    </row>
    <row r="13" spans="1:7" x14ac:dyDescent="0.35">
      <c r="A13" s="11" t="s">
        <v>92</v>
      </c>
      <c r="B13" s="10" t="s">
        <v>101</v>
      </c>
      <c r="C13" s="20">
        <v>1.2</v>
      </c>
      <c r="D13" s="20">
        <v>28</v>
      </c>
      <c r="E13" s="27">
        <v>4081</v>
      </c>
      <c r="F13" s="27">
        <v>14852</v>
      </c>
      <c r="G13" s="28">
        <f>D13/C13</f>
        <v>23.333333333333336</v>
      </c>
    </row>
    <row r="14" spans="1:7" ht="22.4" customHeight="1" x14ac:dyDescent="0.35">
      <c r="A14" s="2" t="s">
        <v>155</v>
      </c>
      <c r="B14" s="2"/>
      <c r="C14" s="2"/>
      <c r="D14" s="2"/>
      <c r="E14" s="2"/>
      <c r="F14" s="2"/>
      <c r="G14" s="2"/>
    </row>
  </sheetData>
  <mergeCells count="4">
    <mergeCell ref="B4:G4"/>
    <mergeCell ref="B5:G5"/>
    <mergeCell ref="B6:G6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5"/>
  <sheetViews>
    <sheetView showGridLines="0" zoomScaleNormal="100" workbookViewId="0">
      <selection activeCell="H19" sqref="H19"/>
    </sheetView>
  </sheetViews>
  <sheetFormatPr defaultColWidth="8.6328125" defaultRowHeight="14.5" x14ac:dyDescent="0.35"/>
  <cols>
    <col min="1" max="1" width="28" customWidth="1"/>
    <col min="2" max="2" width="8" customWidth="1"/>
    <col min="3" max="6" width="16" customWidth="1"/>
  </cols>
  <sheetData>
    <row r="1" spans="1:7" ht="18" x14ac:dyDescent="0.4">
      <c r="A1" s="5" t="s">
        <v>501</v>
      </c>
    </row>
    <row r="2" spans="1:7" x14ac:dyDescent="0.35">
      <c r="A2" s="6" t="s">
        <v>502</v>
      </c>
    </row>
    <row r="4" spans="1:7" ht="23.9" customHeight="1" x14ac:dyDescent="0.35">
      <c r="A4" s="16" t="s">
        <v>160</v>
      </c>
      <c r="B4" s="1" t="s">
        <v>503</v>
      </c>
      <c r="C4" s="1"/>
      <c r="D4" s="1"/>
      <c r="E4" s="1"/>
      <c r="F4" s="1"/>
      <c r="G4" s="1"/>
    </row>
    <row r="5" spans="1:7" ht="23.9" customHeight="1" x14ac:dyDescent="0.35">
      <c r="A5" s="16" t="s">
        <v>162</v>
      </c>
      <c r="B5" s="1" t="s">
        <v>504</v>
      </c>
      <c r="C5" s="1"/>
      <c r="D5" s="1"/>
      <c r="E5" s="1"/>
      <c r="F5" s="1"/>
      <c r="G5" s="1"/>
    </row>
    <row r="6" spans="1:7" ht="15" customHeight="1" x14ac:dyDescent="0.35">
      <c r="A6" s="16" t="s">
        <v>164</v>
      </c>
      <c r="B6" s="1" t="s">
        <v>505</v>
      </c>
      <c r="C6" s="1"/>
      <c r="D6" s="1"/>
      <c r="E6" s="1"/>
      <c r="F6" s="1"/>
      <c r="G6" s="1"/>
    </row>
    <row r="8" spans="1:7" x14ac:dyDescent="0.35">
      <c r="A8" s="7" t="s">
        <v>82</v>
      </c>
      <c r="B8" s="7" t="s">
        <v>83</v>
      </c>
      <c r="C8" s="7" t="s">
        <v>506</v>
      </c>
      <c r="D8" s="7" t="s">
        <v>507</v>
      </c>
      <c r="E8" s="7" t="s">
        <v>508</v>
      </c>
      <c r="F8" s="7" t="s">
        <v>509</v>
      </c>
    </row>
    <row r="9" spans="1:7" x14ac:dyDescent="0.35">
      <c r="A9" s="11" t="s">
        <v>92</v>
      </c>
      <c r="B9" s="10" t="s">
        <v>93</v>
      </c>
      <c r="C9" s="29">
        <v>89.9</v>
      </c>
      <c r="D9" s="20">
        <v>86.8</v>
      </c>
      <c r="E9" s="17">
        <f t="shared" ref="E9:E18" si="0">C9-D9</f>
        <v>3.1000000000000085</v>
      </c>
      <c r="F9" s="10">
        <f t="shared" ref="F9:F18" si="1">IF(C9&gt;D9,1,0)</f>
        <v>1</v>
      </c>
    </row>
    <row r="10" spans="1:7" x14ac:dyDescent="0.35">
      <c r="A10" s="11" t="s">
        <v>92</v>
      </c>
      <c r="B10" s="10" t="s">
        <v>101</v>
      </c>
      <c r="C10" s="29">
        <v>89.6</v>
      </c>
      <c r="D10" s="20">
        <v>87.1</v>
      </c>
      <c r="E10" s="17">
        <f t="shared" si="0"/>
        <v>2.5</v>
      </c>
      <c r="F10" s="10">
        <f t="shared" si="1"/>
        <v>1</v>
      </c>
    </row>
    <row r="11" spans="1:7" x14ac:dyDescent="0.35">
      <c r="A11" s="11" t="s">
        <v>108</v>
      </c>
      <c r="B11" s="10" t="s">
        <v>93</v>
      </c>
      <c r="C11" s="29">
        <v>96.1</v>
      </c>
      <c r="D11" s="20">
        <v>90.7</v>
      </c>
      <c r="E11" s="17">
        <f t="shared" si="0"/>
        <v>5.3999999999999915</v>
      </c>
      <c r="F11" s="10">
        <f t="shared" si="1"/>
        <v>1</v>
      </c>
    </row>
    <row r="12" spans="1:7" x14ac:dyDescent="0.35">
      <c r="A12" s="11" t="s">
        <v>108</v>
      </c>
      <c r="B12" s="10" t="s">
        <v>101</v>
      </c>
      <c r="C12" s="29">
        <v>93.9</v>
      </c>
      <c r="D12" s="20">
        <v>89</v>
      </c>
      <c r="E12" s="17">
        <f t="shared" si="0"/>
        <v>4.9000000000000057</v>
      </c>
      <c r="F12" s="10">
        <f t="shared" si="1"/>
        <v>1</v>
      </c>
    </row>
    <row r="13" spans="1:7" x14ac:dyDescent="0.35">
      <c r="A13" s="11" t="s">
        <v>121</v>
      </c>
      <c r="B13" s="10" t="s">
        <v>93</v>
      </c>
      <c r="C13" s="29">
        <v>100</v>
      </c>
      <c r="D13" s="20">
        <v>99.2</v>
      </c>
      <c r="E13" s="17">
        <f t="shared" si="0"/>
        <v>0.79999999999999716</v>
      </c>
      <c r="F13" s="10">
        <f t="shared" si="1"/>
        <v>1</v>
      </c>
    </row>
    <row r="14" spans="1:7" x14ac:dyDescent="0.35">
      <c r="A14" s="11" t="s">
        <v>121</v>
      </c>
      <c r="B14" s="10" t="s">
        <v>101</v>
      </c>
      <c r="C14" s="29">
        <v>100</v>
      </c>
      <c r="D14" s="20">
        <v>99.6</v>
      </c>
      <c r="E14" s="17">
        <f t="shared" si="0"/>
        <v>0.40000000000000568</v>
      </c>
      <c r="F14" s="10">
        <f t="shared" si="1"/>
        <v>1</v>
      </c>
    </row>
    <row r="15" spans="1:7" x14ac:dyDescent="0.35">
      <c r="A15" s="11" t="s">
        <v>129</v>
      </c>
      <c r="B15" s="10" t="s">
        <v>93</v>
      </c>
      <c r="C15" s="29">
        <v>95.5</v>
      </c>
      <c r="D15" s="20">
        <v>90.8</v>
      </c>
      <c r="E15" s="17">
        <f t="shared" si="0"/>
        <v>4.7000000000000028</v>
      </c>
      <c r="F15" s="10">
        <f t="shared" si="1"/>
        <v>1</v>
      </c>
    </row>
    <row r="16" spans="1:7" x14ac:dyDescent="0.35">
      <c r="A16" s="11" t="s">
        <v>129</v>
      </c>
      <c r="B16" s="10" t="s">
        <v>101</v>
      </c>
      <c r="C16" s="29">
        <v>95.3</v>
      </c>
      <c r="D16" s="20">
        <v>89.6</v>
      </c>
      <c r="E16" s="17">
        <f t="shared" si="0"/>
        <v>5.7000000000000028</v>
      </c>
      <c r="F16" s="10">
        <f t="shared" si="1"/>
        <v>1</v>
      </c>
    </row>
    <row r="17" spans="1:6" x14ac:dyDescent="0.35">
      <c r="A17" s="11" t="s">
        <v>142</v>
      </c>
      <c r="B17" s="10" t="s">
        <v>93</v>
      </c>
      <c r="C17" s="29">
        <v>98.4</v>
      </c>
      <c r="D17" s="20">
        <v>95.2</v>
      </c>
      <c r="E17" s="17">
        <f t="shared" si="0"/>
        <v>3.2000000000000028</v>
      </c>
      <c r="F17" s="10">
        <f t="shared" si="1"/>
        <v>1</v>
      </c>
    </row>
    <row r="18" spans="1:6" x14ac:dyDescent="0.35">
      <c r="A18" s="11" t="s">
        <v>142</v>
      </c>
      <c r="B18" s="10" t="s">
        <v>101</v>
      </c>
      <c r="C18" s="29">
        <v>99.2</v>
      </c>
      <c r="D18" s="20">
        <v>92.8</v>
      </c>
      <c r="E18" s="17">
        <f t="shared" si="0"/>
        <v>6.4000000000000057</v>
      </c>
      <c r="F18" s="10">
        <f t="shared" si="1"/>
        <v>1</v>
      </c>
    </row>
    <row r="19" spans="1:6" x14ac:dyDescent="0.35">
      <c r="A19" s="8" t="s">
        <v>510</v>
      </c>
      <c r="F19" s="30">
        <f>SUM(F9:F18)</f>
        <v>10</v>
      </c>
    </row>
    <row r="20" spans="1:6" x14ac:dyDescent="0.35">
      <c r="A20" s="8" t="s">
        <v>511</v>
      </c>
      <c r="E20" s="31">
        <f>AVERAGE(E9:E18)</f>
        <v>3.7100000000000022</v>
      </c>
    </row>
    <row r="21" spans="1:6" x14ac:dyDescent="0.35">
      <c r="A21" s="8" t="s">
        <v>512</v>
      </c>
      <c r="E21" s="32">
        <f>0.5^F19</f>
        <v>9.765625E-4</v>
      </c>
    </row>
    <row r="22" spans="1:6" x14ac:dyDescent="0.35">
      <c r="A22" s="8" t="s">
        <v>513</v>
      </c>
      <c r="E22" s="33">
        <f>2*0.5^F19</f>
        <v>1.953125E-3</v>
      </c>
    </row>
    <row r="24" spans="1:6" x14ac:dyDescent="0.35">
      <c r="A24" s="3" t="s">
        <v>514</v>
      </c>
      <c r="B24" s="3"/>
      <c r="C24" s="3"/>
      <c r="D24" s="3"/>
      <c r="E24" s="3"/>
      <c r="F24" s="3"/>
    </row>
    <row r="25" spans="1:6" ht="22.4" customHeight="1" x14ac:dyDescent="0.35">
      <c r="A25" s="2" t="s">
        <v>155</v>
      </c>
      <c r="B25" s="2"/>
      <c r="C25" s="2"/>
      <c r="D25" s="2"/>
      <c r="E25" s="2"/>
      <c r="F25" s="2"/>
    </row>
  </sheetData>
  <mergeCells count="5">
    <mergeCell ref="B4:G4"/>
    <mergeCell ref="B5:G5"/>
    <mergeCell ref="B6:G6"/>
    <mergeCell ref="A24:F24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"/>
  <sheetViews>
    <sheetView showGridLines="0" tabSelected="1" topLeftCell="A2" zoomScaleNormal="100" workbookViewId="0">
      <selection activeCell="J11" sqref="J11"/>
    </sheetView>
  </sheetViews>
  <sheetFormatPr defaultColWidth="8.6328125" defaultRowHeight="14.5" x14ac:dyDescent="0.35"/>
  <cols>
    <col min="1" max="1" width="15" customWidth="1"/>
    <col min="2" max="2" width="8" customWidth="1"/>
    <col min="3" max="7" width="17" customWidth="1"/>
  </cols>
  <sheetData>
    <row r="1" spans="1:7" ht="18" x14ac:dyDescent="0.4">
      <c r="A1" s="5" t="s">
        <v>515</v>
      </c>
    </row>
    <row r="2" spans="1:7" x14ac:dyDescent="0.35">
      <c r="A2" s="6" t="s">
        <v>516</v>
      </c>
    </row>
    <row r="4" spans="1:7" ht="23.9" customHeight="1" x14ac:dyDescent="0.35">
      <c r="A4" s="16" t="s">
        <v>160</v>
      </c>
      <c r="B4" s="1" t="s">
        <v>517</v>
      </c>
      <c r="C4" s="1"/>
      <c r="D4" s="1"/>
      <c r="E4" s="1"/>
      <c r="F4" s="1"/>
      <c r="G4" s="1"/>
    </row>
    <row r="5" spans="1:7" ht="35" customHeight="1" x14ac:dyDescent="0.35">
      <c r="A5" s="16" t="s">
        <v>162</v>
      </c>
      <c r="B5" s="1" t="s">
        <v>518</v>
      </c>
      <c r="C5" s="1"/>
      <c r="D5" s="1"/>
      <c r="E5" s="1"/>
      <c r="F5" s="1"/>
      <c r="G5" s="1"/>
    </row>
    <row r="6" spans="1:7" ht="23.9" customHeight="1" x14ac:dyDescent="0.35">
      <c r="A6" s="16" t="s">
        <v>164</v>
      </c>
      <c r="B6" s="1" t="s">
        <v>519</v>
      </c>
      <c r="C6" s="1"/>
      <c r="D6" s="1"/>
      <c r="E6" s="1"/>
      <c r="F6" s="1"/>
      <c r="G6" s="1"/>
    </row>
    <row r="8" spans="1:7" x14ac:dyDescent="0.35">
      <c r="A8" s="7" t="s">
        <v>82</v>
      </c>
      <c r="B8" s="7" t="s">
        <v>83</v>
      </c>
      <c r="C8" s="7" t="s">
        <v>520</v>
      </c>
      <c r="D8" s="7" t="s">
        <v>521</v>
      </c>
      <c r="E8" s="7" t="s">
        <v>522</v>
      </c>
      <c r="F8" s="7" t="s">
        <v>523</v>
      </c>
      <c r="G8" s="7" t="s">
        <v>524</v>
      </c>
    </row>
    <row r="9" spans="1:7" x14ac:dyDescent="0.35">
      <c r="A9" s="11" t="s">
        <v>92</v>
      </c>
      <c r="B9" s="10" t="s">
        <v>93</v>
      </c>
      <c r="C9" s="14">
        <v>0.88</v>
      </c>
      <c r="D9" s="10">
        <v>176</v>
      </c>
      <c r="E9" s="14">
        <v>0.87</v>
      </c>
      <c r="F9" s="10">
        <v>176</v>
      </c>
      <c r="G9" s="14">
        <v>0.15</v>
      </c>
    </row>
    <row r="10" spans="1:7" x14ac:dyDescent="0.35">
      <c r="A10" s="11" t="s">
        <v>92</v>
      </c>
      <c r="B10" s="10" t="s">
        <v>101</v>
      </c>
      <c r="C10" s="14">
        <v>0.86</v>
      </c>
      <c r="D10" s="10">
        <v>152</v>
      </c>
      <c r="E10" s="14">
        <v>0.86</v>
      </c>
      <c r="F10" s="10">
        <v>152</v>
      </c>
      <c r="G10" s="14">
        <v>0.16</v>
      </c>
    </row>
    <row r="11" spans="1:7" x14ac:dyDescent="0.35">
      <c r="A11" s="11" t="s">
        <v>108</v>
      </c>
      <c r="B11" s="10" t="s">
        <v>93</v>
      </c>
      <c r="C11" s="14">
        <v>0.87</v>
      </c>
      <c r="D11" s="10">
        <v>158</v>
      </c>
      <c r="E11" s="34">
        <v>0.82</v>
      </c>
      <c r="F11" s="10">
        <v>25</v>
      </c>
      <c r="G11" s="14">
        <v>0.42</v>
      </c>
    </row>
    <row r="12" spans="1:7" x14ac:dyDescent="0.35">
      <c r="A12" s="11" t="s">
        <v>108</v>
      </c>
      <c r="B12" s="10" t="s">
        <v>101</v>
      </c>
      <c r="C12" s="14">
        <v>0.88</v>
      </c>
      <c r="D12" s="10">
        <v>173</v>
      </c>
      <c r="E12" s="34">
        <v>0.81</v>
      </c>
      <c r="F12" s="10">
        <v>25</v>
      </c>
      <c r="G12" s="14">
        <v>0.42</v>
      </c>
    </row>
    <row r="13" spans="1:7" x14ac:dyDescent="0.35">
      <c r="A13" s="11" t="s">
        <v>121</v>
      </c>
      <c r="B13" s="10" t="s">
        <v>93</v>
      </c>
      <c r="C13" s="14">
        <v>0.88</v>
      </c>
      <c r="D13" s="10">
        <v>161</v>
      </c>
      <c r="E13" s="34">
        <v>0.81</v>
      </c>
      <c r="F13" s="10">
        <v>25</v>
      </c>
      <c r="G13" s="14">
        <v>0.42</v>
      </c>
    </row>
    <row r="14" spans="1:7" x14ac:dyDescent="0.35">
      <c r="A14" s="11" t="s">
        <v>121</v>
      </c>
      <c r="B14" s="10" t="s">
        <v>101</v>
      </c>
      <c r="C14" s="14">
        <v>0.89</v>
      </c>
      <c r="D14" s="10">
        <v>164</v>
      </c>
      <c r="E14" s="34">
        <v>0.84</v>
      </c>
      <c r="F14" s="10">
        <v>25</v>
      </c>
      <c r="G14" s="14">
        <v>0.42</v>
      </c>
    </row>
    <row r="15" spans="1:7" x14ac:dyDescent="0.35">
      <c r="A15" s="11" t="s">
        <v>129</v>
      </c>
      <c r="B15" s="10" t="s">
        <v>93</v>
      </c>
      <c r="C15" s="14">
        <v>0.82</v>
      </c>
      <c r="D15" s="10">
        <v>161</v>
      </c>
      <c r="E15" s="34">
        <v>0.78</v>
      </c>
      <c r="F15" s="10">
        <v>25</v>
      </c>
      <c r="G15" s="14">
        <v>0.42</v>
      </c>
    </row>
    <row r="16" spans="1:7" x14ac:dyDescent="0.35">
      <c r="A16" s="11" t="s">
        <v>129</v>
      </c>
      <c r="B16" s="10" t="s">
        <v>101</v>
      </c>
      <c r="C16" s="14">
        <v>0.86</v>
      </c>
      <c r="D16" s="10">
        <v>156</v>
      </c>
      <c r="E16" s="34">
        <v>0.81</v>
      </c>
      <c r="F16" s="10">
        <v>25</v>
      </c>
      <c r="G16" s="14">
        <v>0.42</v>
      </c>
    </row>
    <row r="17" spans="1:7" x14ac:dyDescent="0.35">
      <c r="A17" s="11" t="s">
        <v>142</v>
      </c>
      <c r="B17" s="10" t="s">
        <v>93</v>
      </c>
      <c r="C17" s="14">
        <v>0.83</v>
      </c>
      <c r="D17" s="10">
        <v>178</v>
      </c>
      <c r="E17" s="34">
        <v>0.76</v>
      </c>
      <c r="F17" s="10">
        <v>25</v>
      </c>
      <c r="G17" s="14">
        <v>0.42</v>
      </c>
    </row>
    <row r="18" spans="1:7" x14ac:dyDescent="0.35">
      <c r="A18" s="11" t="s">
        <v>142</v>
      </c>
      <c r="B18" s="10" t="s">
        <v>101</v>
      </c>
      <c r="C18" s="14">
        <v>0.82</v>
      </c>
      <c r="D18" s="10">
        <v>158</v>
      </c>
      <c r="E18" s="34">
        <v>0.77</v>
      </c>
      <c r="F18" s="10">
        <v>25</v>
      </c>
      <c r="G18" s="14">
        <v>0.42</v>
      </c>
    </row>
    <row r="19" spans="1:7" x14ac:dyDescent="0.35">
      <c r="A19" s="3" t="s">
        <v>525</v>
      </c>
      <c r="B19" s="3"/>
      <c r="C19" s="3"/>
      <c r="D19" s="3"/>
      <c r="E19" s="3"/>
      <c r="F19" s="3"/>
      <c r="G19" s="3"/>
    </row>
    <row r="20" spans="1:7" ht="22.4" customHeight="1" x14ac:dyDescent="0.35">
      <c r="A20" s="2" t="s">
        <v>155</v>
      </c>
      <c r="B20" s="2"/>
      <c r="C20" s="2"/>
      <c r="D20" s="2"/>
      <c r="E20" s="2"/>
      <c r="F20" s="2"/>
      <c r="G20" s="2"/>
    </row>
  </sheetData>
  <mergeCells count="5">
    <mergeCell ref="B4:G4"/>
    <mergeCell ref="B5:G5"/>
    <mergeCell ref="B6:G6"/>
    <mergeCell ref="A19:G19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README</vt:lpstr>
      <vt:lpstr>GT_SR</vt:lpstr>
      <vt:lpstr>GT_InfoGain</vt:lpstr>
      <vt:lpstr>A1_Memory_Off</vt:lpstr>
      <vt:lpstr>A3_Clustering_Off</vt:lpstr>
      <vt:lpstr>A4_LLM_vs_Heuristic</vt:lpstr>
      <vt:lpstr>A5_VLM_Off</vt:lpstr>
      <vt:lpstr>A6_KAG_Off</vt:lpstr>
      <vt:lpstr>A8_Fallback_Only</vt:lpstr>
      <vt:lpstr>A7_Bridging_Off</vt:lpstr>
      <vt:lpstr>A2_RandomAlloc_Robots</vt:lpstr>
      <vt:lpstr>A9_ContextSet_S</vt:lpstr>
      <vt:lpstr>A10_Descriptor_Feats</vt:lpstr>
      <vt:lpstr>A11_Budget_Sweep</vt:lpstr>
      <vt:lpstr>A12_Demos_PerRound</vt:lpstr>
      <vt:lpstr>A13_Memory_Constants</vt:lpstr>
      <vt:lpstr>A14_k_Selection</vt:lpstr>
      <vt:lpstr>D1_Cluster_Purity</vt:lpstr>
      <vt:lpstr>D2_kStar_Dist</vt:lpstr>
      <vt:lpstr>D3_Bridge_Split</vt:lpstr>
      <vt:lpstr>D4_FailureCount</vt:lpstr>
      <vt:lpstr>D5_Compute</vt:lpstr>
      <vt:lpstr>S1_SignTest</vt:lpstr>
      <vt:lpstr>Q3_PerCheckpoint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Suyog Khanal</cp:lastModifiedBy>
  <cp:revision>0</cp:revision>
  <dcterms:created xsi:type="dcterms:W3CDTF">2026-07-10T07:53:06Z</dcterms:created>
  <dcterms:modified xsi:type="dcterms:W3CDTF">2026-07-10T08:35:17Z</dcterms:modified>
  <dc:language>en-US</dc:language>
</cp:coreProperties>
</file>