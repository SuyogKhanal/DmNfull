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6440" tabRatio="988" firstSheet="6" activeTab="15" autoFilterDateGrouping="1"/>
  </bookViews>
  <sheets>
    <sheet xmlns:r="http://schemas.openxmlformats.org/officeDocument/2006/relationships" name="README" sheetId="1" state="visible" r:id="rId1"/>
    <sheet xmlns:r="http://schemas.openxmlformats.org/officeDocument/2006/relationships" name="GT_SR" sheetId="2" state="visible" r:id="rId2"/>
    <sheet xmlns:r="http://schemas.openxmlformats.org/officeDocument/2006/relationships" name="GT_InfoGain" sheetId="3" state="visible" r:id="rId3"/>
    <sheet xmlns:r="http://schemas.openxmlformats.org/officeDocument/2006/relationships" name="A1_Memory_Off" sheetId="4" state="visible" r:id="rId4"/>
    <sheet xmlns:r="http://schemas.openxmlformats.org/officeDocument/2006/relationships" name="A3_Clustering_Off" sheetId="5" state="visible" r:id="rId5"/>
    <sheet xmlns:r="http://schemas.openxmlformats.org/officeDocument/2006/relationships" name="A4_LLM_vs_Heuristic" sheetId="6" state="visible" r:id="rId6"/>
    <sheet xmlns:r="http://schemas.openxmlformats.org/officeDocument/2006/relationships" name="A5_VLM_Off" sheetId="7" state="visible" r:id="rId7"/>
    <sheet xmlns:r="http://schemas.openxmlformats.org/officeDocument/2006/relationships" name="A6_KAG_Off" sheetId="8" state="visible" r:id="rId8"/>
    <sheet xmlns:r="http://schemas.openxmlformats.org/officeDocument/2006/relationships" name="A8_Fallback_Only" sheetId="9" state="visible" r:id="rId9"/>
    <sheet xmlns:r="http://schemas.openxmlformats.org/officeDocument/2006/relationships" name="A7_Bridging_Off_" sheetId="10" state="visible" r:id="rId10"/>
    <sheet xmlns:r="http://schemas.openxmlformats.org/officeDocument/2006/relationships" name="A2_RandomAlloc_Robots" sheetId="11" state="visible" r:id="rId11"/>
    <sheet xmlns:r="http://schemas.openxmlformats.org/officeDocument/2006/relationships" name="A9" sheetId="12" state="visible" r:id="rId12"/>
    <sheet xmlns:r="http://schemas.openxmlformats.org/officeDocument/2006/relationships" name="A10" sheetId="13" state="visible" r:id="rId13"/>
    <sheet xmlns:r="http://schemas.openxmlformats.org/officeDocument/2006/relationships" name="A11" sheetId="14" state="visible" r:id="rId14"/>
    <sheet xmlns:r="http://schemas.openxmlformats.org/officeDocument/2006/relationships" name="A12" sheetId="15" state="visible" r:id="rId15"/>
    <sheet xmlns:r="http://schemas.openxmlformats.org/officeDocument/2006/relationships" name="A13" sheetId="16" state="visible" r:id="rId16"/>
    <sheet xmlns:r="http://schemas.openxmlformats.org/officeDocument/2006/relationships" name="A14" sheetId="17" state="visible" r:id="rId17"/>
    <sheet xmlns:r="http://schemas.openxmlformats.org/officeDocument/2006/relationships" name="A15" sheetId="18" state="visible" r:id="rId18"/>
    <sheet xmlns:r="http://schemas.openxmlformats.org/officeDocument/2006/relationships" name="D1_Cluster_Purity" sheetId="19" state="visible" r:id="rId19"/>
    <sheet xmlns:r="http://schemas.openxmlformats.org/officeDocument/2006/relationships" name="D2" sheetId="20" state="visible" r:id="rId20"/>
    <sheet xmlns:r="http://schemas.openxmlformats.org/officeDocument/2006/relationships" name="D3_Bridge_Split" sheetId="21" state="visible" r:id="rId21"/>
    <sheet xmlns:r="http://schemas.openxmlformats.org/officeDocument/2006/relationships" name="D4_FailureCount" sheetId="22" state="visible" r:id="rId22"/>
    <sheet xmlns:r="http://schemas.openxmlformats.org/officeDocument/2006/relationships" name="D5_Compute" sheetId="23" state="visible" r:id="rId23"/>
    <sheet xmlns:r="http://schemas.openxmlformats.org/officeDocument/2006/relationships" name="S1_SignTest" sheetId="24" state="visible" r:id="rId24"/>
    <sheet xmlns:r="http://schemas.openxmlformats.org/officeDocument/2006/relationships" name="D5_vs_DiffDAgger" sheetId="25" state="visible" r:id="rId25"/>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0.0"/>
    <numFmt numFmtId="166" formatCode="0.0\×"/>
    <numFmt numFmtId="167" formatCode="0.0000"/>
  </numFmts>
  <fonts count="23">
    <font>
      <name val="Calibri"/>
      <charset val="1"/>
      <family val="2"/>
      <color theme="1"/>
      <sz val="11"/>
    </font>
    <font>
      <name val="Arial"/>
      <charset val="1"/>
      <b val="1"/>
      <color rgb="FF1F2937"/>
      <sz val="14"/>
    </font>
    <font>
      <name val="Arial"/>
      <charset val="1"/>
      <i val="1"/>
      <color rgb="FF6B7280"/>
      <sz val="10"/>
    </font>
    <font>
      <name val="Arial"/>
      <charset val="1"/>
      <b val="1"/>
      <color rgb="FF991B1B"/>
      <sz val="10"/>
    </font>
    <font>
      <name val="Arial"/>
      <charset val="1"/>
      <b val="1"/>
      <color rgb="FFFFFFFF"/>
      <sz val="10"/>
    </font>
    <font>
      <name val="Arial"/>
      <charset val="1"/>
      <b val="1"/>
      <color rgb="FF111827"/>
      <sz val="10"/>
    </font>
    <font>
      <name val="Arial"/>
      <charset val="1"/>
      <color rgb="FF111827"/>
      <sz val="10"/>
    </font>
    <font>
      <name val="Arial"/>
      <charset val="1"/>
      <b val="1"/>
      <color rgb="FF065F46"/>
      <sz val="10"/>
    </font>
    <font>
      <name val="Arial"/>
      <charset val="1"/>
      <i val="1"/>
      <color rgb="FF6B7280"/>
      <sz val="9"/>
    </font>
    <font>
      <name val="Calibri"/>
      <family val="2"/>
      <b val="1"/>
      <color theme="1"/>
      <sz val="11"/>
    </font>
    <font>
      <name val="Arial"/>
      <family val="2"/>
      <color rgb="FF111827"/>
      <sz val="10"/>
    </font>
    <font>
      <name val="Arial"/>
      <family val="2"/>
      <i val="1"/>
      <color rgb="FF6B7280"/>
      <sz val="9"/>
    </font>
    <font>
      <name val="Arial"/>
      <family val="2"/>
      <b val="1"/>
      <color rgb="FF1F2937"/>
      <sz val="14"/>
    </font>
    <font>
      <name val="Arial"/>
      <family val="2"/>
      <i val="1"/>
      <color rgb="FF6B7280"/>
      <sz val="10"/>
    </font>
    <font>
      <name val="Arial"/>
      <family val="2"/>
      <b val="1"/>
      <color rgb="FF111827"/>
      <sz val="10"/>
    </font>
    <font>
      <name val="Arial"/>
      <family val="2"/>
      <b val="1"/>
      <color rgb="FFFFFFFF"/>
      <sz val="10"/>
    </font>
    <font>
      <name val="Arial"/>
      <family val="2"/>
      <b val="1"/>
      <color rgb="FF065F46"/>
      <sz val="10"/>
    </font>
    <font>
      <name val="Arial"/>
      <family val="2"/>
      <b val="1"/>
      <color rgb="FF991B1B"/>
      <sz val="10"/>
    </font>
    <font>
      <name val="Calibri"/>
      <charset val="1"/>
      <family val="2"/>
      <b val="1"/>
      <color theme="1"/>
      <sz val="13.5"/>
    </font>
    <font>
      <name val="Calibri"/>
      <charset val="1"/>
      <family val="2"/>
      <b val="1"/>
      <color theme="1"/>
      <sz val="11"/>
    </font>
    <font>
      <name val="Arial"/>
      <family val="2"/>
      <sz val="10"/>
    </font>
    <font>
      <b val="1"/>
    </font>
    <font>
      <i val="1"/>
    </font>
  </fonts>
  <fills count="7">
    <fill>
      <patternFill/>
    </fill>
    <fill>
      <patternFill patternType="gray125"/>
    </fill>
    <fill>
      <patternFill patternType="solid">
        <fgColor rgb="FFFEF2F2"/>
        <bgColor rgb="FFF3F4F6"/>
      </patternFill>
    </fill>
    <fill>
      <patternFill patternType="solid">
        <fgColor rgb="FF374151"/>
        <bgColor rgb="FF1F2937"/>
      </patternFill>
    </fill>
    <fill>
      <patternFill patternType="solid">
        <fgColor rgb="FFD1FAE5"/>
        <bgColor rgb="FFEFF6FF"/>
      </patternFill>
    </fill>
    <fill>
      <patternFill patternType="solid">
        <fgColor rgb="FFEFF6FF"/>
        <bgColor rgb="FFF3F4F6"/>
      </patternFill>
    </fill>
    <fill>
      <patternFill patternType="solid">
        <fgColor rgb="FFF3F4F6"/>
        <bgColor rgb="FFEFF6FF"/>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diagonal/>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xf>
    <xf numFmtId="0" fontId="5" fillId="0" borderId="1"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pivotButton="0" quotePrefix="0" xfId="0"/>
    <xf numFmtId="0" fontId="7" fillId="4" borderId="1" applyAlignment="1" pivotButton="0" quotePrefix="0" xfId="0">
      <alignment horizontal="center" vertical="center"/>
    </xf>
    <xf numFmtId="164" fontId="6" fillId="5" borderId="1" applyAlignment="1" pivotButton="0" quotePrefix="0" xfId="0">
      <alignment horizontal="center" vertical="center"/>
    </xf>
    <xf numFmtId="2" fontId="6" fillId="0" borderId="1" applyAlignment="1" pivotButton="0" quotePrefix="0" xfId="0">
      <alignment horizontal="center" vertical="center"/>
    </xf>
    <xf numFmtId="2" fontId="7" fillId="4" borderId="1" applyAlignment="1" pivotButton="0" quotePrefix="0" xfId="0">
      <alignment horizontal="center" vertical="center"/>
    </xf>
    <xf numFmtId="0" fontId="5" fillId="6" borderId="0" applyAlignment="1" pivotButton="0" quotePrefix="0" xfId="0">
      <alignment horizontal="left" vertical="center" wrapText="1"/>
    </xf>
    <xf numFmtId="165" fontId="6" fillId="0" borderId="1" applyAlignment="1" pivotButton="0" quotePrefix="0" xfId="0">
      <alignment horizontal="center" vertical="center"/>
    </xf>
    <xf numFmtId="9" fontId="6" fillId="0" borderId="1" applyAlignment="1" pivotButton="0" quotePrefix="0" xfId="0">
      <alignment horizontal="center" vertical="center"/>
    </xf>
    <xf numFmtId="164" fontId="8" fillId="0" borderId="0" pivotButton="0" quotePrefix="0" xfId="0"/>
    <xf numFmtId="164" fontId="6" fillId="0" borderId="1" applyAlignment="1" pivotButton="0" quotePrefix="0" xfId="0">
      <alignment horizontal="center" vertical="center"/>
    </xf>
    <xf numFmtId="1" fontId="6" fillId="0" borderId="1" applyAlignment="1" pivotButton="0" quotePrefix="0" xfId="0">
      <alignment horizontal="center" vertical="center"/>
    </xf>
    <xf numFmtId="0" fontId="3" fillId="2" borderId="1" applyAlignment="1" pivotButton="0" quotePrefix="0" xfId="0">
      <alignment horizontal="center" vertical="center"/>
    </xf>
    <xf numFmtId="3" fontId="6" fillId="0" borderId="1" applyAlignment="1" pivotButton="0" quotePrefix="0" xfId="0">
      <alignment horizontal="center" vertical="center"/>
    </xf>
    <xf numFmtId="166" fontId="6" fillId="0" borderId="1" applyAlignment="1" pivotButton="0" quotePrefix="0" xfId="0">
      <alignment horizontal="center" vertical="center"/>
    </xf>
    <xf numFmtId="164" fontId="7" fillId="4" borderId="1" applyAlignment="1" pivotButton="0" quotePrefix="0" xfId="0">
      <alignment horizontal="center" vertical="center"/>
    </xf>
    <xf numFmtId="0" fontId="5" fillId="0" borderId="1" applyAlignment="1" pivotButton="0" quotePrefix="0" xfId="0">
      <alignment horizontal="center" vertical="center"/>
    </xf>
    <xf numFmtId="2" fontId="5" fillId="0" borderId="1" applyAlignment="1" pivotButton="0" quotePrefix="0" xfId="0">
      <alignment horizontal="center" vertical="center"/>
    </xf>
    <xf numFmtId="167" fontId="3" fillId="0" borderId="1" applyAlignment="1" pivotButton="0" quotePrefix="0" xfId="0">
      <alignment horizontal="center" vertical="center"/>
    </xf>
    <xf numFmtId="167" fontId="6" fillId="0" borderId="1" applyAlignment="1" pivotButton="0" quotePrefix="0" xfId="0">
      <alignment horizontal="center" vertical="center"/>
    </xf>
    <xf numFmtId="0" fontId="6" fillId="6" borderId="0" applyAlignment="1" pivotButton="0" quotePrefix="0" xfId="0">
      <alignment horizontal="left" vertical="center" wrapText="1"/>
    </xf>
    <xf numFmtId="0" fontId="8" fillId="0" borderId="0" pivotButton="0" quotePrefix="0" xfId="0"/>
    <xf numFmtId="0" fontId="8" fillId="0" borderId="0" applyAlignment="1" pivotButton="0" quotePrefix="0" xfId="0">
      <alignment horizontal="left" vertical="center" wrapText="1"/>
    </xf>
    <xf numFmtId="0" fontId="3" fillId="2" borderId="0" applyAlignment="1" pivotButton="0" quotePrefix="0" xfId="0">
      <alignment horizontal="left" vertical="center" wrapText="1"/>
    </xf>
    <xf numFmtId="0" fontId="9" fillId="0" borderId="0"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center" vertical="center"/>
    </xf>
    <xf numFmtId="0" fontId="5" fillId="0" borderId="1" applyAlignment="1" pivotButton="0" quotePrefix="0" xfId="0">
      <alignment horizontal="left" vertical="center" wrapText="1"/>
    </xf>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xf>
    <xf numFmtId="0" fontId="6" fillId="0" borderId="1" applyAlignment="1" pivotButton="0" quotePrefix="0" xfId="0">
      <alignment horizontal="center" vertical="center"/>
    </xf>
    <xf numFmtId="0" fontId="6" fillId="0" borderId="1" pivotButton="0" quotePrefix="0" xfId="0"/>
    <xf numFmtId="164" fontId="6" fillId="5" borderId="1" applyAlignment="1" pivotButton="0" quotePrefix="0" xfId="0">
      <alignment horizontal="center" vertical="center"/>
    </xf>
    <xf numFmtId="0" fontId="5" fillId="6" borderId="0" applyAlignment="1" pivotButton="0" quotePrefix="0" xfId="0">
      <alignment horizontal="left" vertical="center" wrapText="1"/>
    </xf>
    <xf numFmtId="165" fontId="6" fillId="0" borderId="1" applyAlignment="1" pivotButton="0" quotePrefix="0" xfId="0">
      <alignment horizontal="center" vertical="center"/>
    </xf>
    <xf numFmtId="9" fontId="6" fillId="0" borderId="1" applyAlignment="1" pivotButton="0" quotePrefix="0" xfId="0">
      <alignment horizontal="center" vertical="center"/>
    </xf>
    <xf numFmtId="164" fontId="8" fillId="0" borderId="0" pivotButton="0" quotePrefix="0" xfId="0"/>
    <xf numFmtId="0" fontId="10" fillId="0" borderId="1" applyAlignment="1" pivotButton="0" quotePrefix="0" xfId="0">
      <alignment horizontal="center" vertical="center"/>
    </xf>
    <xf numFmtId="0" fontId="11" fillId="0" borderId="0" pivotButton="0" quotePrefix="0" xfId="0"/>
    <xf numFmtId="0" fontId="10" fillId="6" borderId="0" applyAlignment="1" pivotButton="0" quotePrefix="0" xfId="0">
      <alignment horizontal="left" vertical="center" wrapText="1"/>
    </xf>
    <xf numFmtId="0" fontId="12" fillId="0" borderId="0" pivotButton="0" quotePrefix="0" xfId="0"/>
    <xf numFmtId="0" fontId="13" fillId="0" borderId="0" pivotButton="0" quotePrefix="0" xfId="0"/>
    <xf numFmtId="0" fontId="14" fillId="6" borderId="0" applyAlignment="1" pivotButton="0" quotePrefix="0" xfId="0">
      <alignment horizontal="left" vertical="center" wrapText="1"/>
    </xf>
    <xf numFmtId="0" fontId="15" fillId="3" borderId="1" applyAlignment="1" pivotButton="0" quotePrefix="0" xfId="0">
      <alignment horizontal="center" vertical="center"/>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xf>
    <xf numFmtId="0" fontId="16" fillId="4" borderId="1" applyAlignment="1" pivotButton="0" quotePrefix="0" xfId="0">
      <alignment horizontal="center" vertical="center"/>
    </xf>
    <xf numFmtId="0" fontId="10" fillId="0" borderId="1" applyAlignment="1" pivotButton="0" quotePrefix="0" xfId="0">
      <alignment horizontal="left" vertical="center" wrapText="1"/>
    </xf>
    <xf numFmtId="2" fontId="10" fillId="0" borderId="1" applyAlignment="1" pivotButton="0" quotePrefix="0" xfId="0">
      <alignment horizontal="center" vertical="center"/>
    </xf>
    <xf numFmtId="0" fontId="11" fillId="0" borderId="1" applyAlignment="1" pivotButton="0" quotePrefix="0" xfId="0">
      <alignment horizontal="left" vertical="center" wrapText="1"/>
    </xf>
    <xf numFmtId="2" fontId="16" fillId="4" borderId="1" applyAlignment="1" pivotButton="0" quotePrefix="0" xfId="0">
      <alignment horizontal="center" vertical="center"/>
    </xf>
    <xf numFmtId="0" fontId="17" fillId="2" borderId="0" applyAlignment="1" pivotButton="0" quotePrefix="0" xfId="0">
      <alignment horizontal="left" vertical="center" wrapText="1"/>
    </xf>
    <xf numFmtId="0" fontId="10" fillId="0" borderId="1" pivotButton="0" quotePrefix="0" xfId="0"/>
    <xf numFmtId="164" fontId="10" fillId="0" borderId="1" applyAlignment="1" pivotButton="0" quotePrefix="0" xfId="0">
      <alignment horizontal="center" vertical="center"/>
    </xf>
    <xf numFmtId="164" fontId="16" fillId="4" borderId="1" applyAlignment="1" pivotButton="0" quotePrefix="0" xfId="0">
      <alignment horizontal="center" vertical="center"/>
    </xf>
    <xf numFmtId="165" fontId="10" fillId="0" borderId="1" applyAlignment="1" pivotButton="0" quotePrefix="0" xfId="0">
      <alignment horizontal="center" vertical="center"/>
    </xf>
    <xf numFmtId="0" fontId="10" fillId="5" borderId="1" applyAlignment="1" pivotButton="0" quotePrefix="0" xfId="0">
      <alignment horizontal="center" vertical="center"/>
    </xf>
    <xf numFmtId="0" fontId="10" fillId="4" borderId="1" applyAlignment="1" pivotButton="0" quotePrefix="0" xfId="0">
      <alignment horizontal="center" vertical="center"/>
    </xf>
    <xf numFmtId="0" fontId="14" fillId="0" borderId="1" applyAlignment="1" pivotButton="0" quotePrefix="0" xfId="0">
      <alignment horizontal="center" vertical="center"/>
    </xf>
    <xf numFmtId="0" fontId="17" fillId="2" borderId="1" applyAlignment="1" pivotButton="0" quotePrefix="0" xfId="0">
      <alignment horizontal="center" vertical="center"/>
    </xf>
    <xf numFmtId="0" fontId="14" fillId="4" borderId="1" applyAlignment="1" pivotButton="0" quotePrefix="0" xfId="0">
      <alignment horizontal="center" vertical="center"/>
    </xf>
    <xf numFmtId="0" fontId="10" fillId="2" borderId="1" applyAlignment="1" pivotButton="0" quotePrefix="0" xfId="0">
      <alignment horizontal="center" vertical="center"/>
    </xf>
    <xf numFmtId="0" fontId="14"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5" fillId="3" borderId="2" applyAlignment="1" pivotButton="0" quotePrefix="0" xfId="0">
      <alignment horizontal="center" vertical="center"/>
    </xf>
    <xf numFmtId="0" fontId="18" fillId="0" borderId="0" applyAlignment="1" pivotButton="0" quotePrefix="0" xfId="0">
      <alignment vertical="center"/>
    </xf>
    <xf numFmtId="0" fontId="19" fillId="0" borderId="0" pivotButton="0" quotePrefix="0" xfId="0"/>
    <xf numFmtId="0" fontId="0" fillId="0" borderId="0" applyAlignment="1" pivotButton="0" quotePrefix="0" xfId="0">
      <alignment horizontal="left" vertical="center" indent="1"/>
    </xf>
    <xf numFmtId="0" fontId="0" fillId="0" borderId="0" pivotButton="0" quotePrefix="0" xfId="0"/>
    <xf numFmtId="0" fontId="12" fillId="0" borderId="0" pivotButton="0" quotePrefix="0" xfId="0"/>
    <xf numFmtId="0" fontId="13" fillId="0" borderId="0" pivotButton="0" quotePrefix="0" xfId="0"/>
    <xf numFmtId="0" fontId="15" fillId="3" borderId="1" applyAlignment="1" pivotButton="0" quotePrefix="0" xfId="0">
      <alignment horizontal="center" vertical="center"/>
    </xf>
    <xf numFmtId="0" fontId="10" fillId="0" borderId="1" applyAlignment="1" pivotButton="0" quotePrefix="0" xfId="0">
      <alignment horizontal="center" vertical="center"/>
    </xf>
    <xf numFmtId="0" fontId="10" fillId="0" borderId="1" pivotButton="0" quotePrefix="0" xfId="0"/>
    <xf numFmtId="0" fontId="14" fillId="6" borderId="0" applyAlignment="1" pivotButton="0" quotePrefix="0" xfId="0">
      <alignment horizontal="left" vertical="center" wrapText="1"/>
    </xf>
    <xf numFmtId="164" fontId="10" fillId="0" borderId="1" applyAlignment="1" pivotButton="0" quotePrefix="0" xfId="0">
      <alignment horizontal="center" vertical="center"/>
    </xf>
    <xf numFmtId="164" fontId="16" fillId="4" borderId="1" applyAlignment="1" pivotButton="0" quotePrefix="0" xfId="0">
      <alignment horizontal="center" vertical="center"/>
    </xf>
    <xf numFmtId="0" fontId="14" fillId="0" borderId="0" pivotButton="0" quotePrefix="0" xfId="0"/>
    <xf numFmtId="164" fontId="20" fillId="0" borderId="0" pivotButton="0" quotePrefix="0" xfId="0"/>
    <xf numFmtId="0" fontId="21" fillId="0" borderId="0" pivotButton="0" quotePrefix="0" xfId="0"/>
    <xf numFmtId="0" fontId="22" fillId="0" borderId="0" pivotButton="0" quotePrefix="0" xfId="0"/>
    <xf numFmtId="0" fontId="2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C0C0C0"/>
      <rgbColor rgb="FF808080"/>
      <rgbColor rgb="FF9999FF"/>
      <rgbColor rgb="FF993366"/>
      <rgbColor rgb="FFFEF2F2"/>
      <rgbColor rgb="FFEFF6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827"/>
      <rgbColor rgb="FF333300"/>
      <rgbColor rgb="FF991B1B"/>
      <rgbColor rgb="FF993366"/>
      <rgbColor rgb="FF374151"/>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showGridLines="0" topLeftCell="A9" zoomScaleNormal="100" workbookViewId="0">
      <selection activeCell="F17" sqref="F17"/>
    </sheetView>
  </sheetViews>
  <sheetFormatPr baseColWidth="8" defaultColWidth="8.6328125" defaultRowHeight="14.5"/>
  <cols>
    <col width="22" customWidth="1" style="76" min="1" max="1"/>
    <col width="46" customWidth="1" style="76" min="2" max="2"/>
    <col width="9" customWidth="1" style="76" min="3" max="3"/>
    <col width="52" customWidth="1" style="76" min="4" max="4"/>
  </cols>
  <sheetData>
    <row r="1" ht="18" customHeight="1" s="76">
      <c r="A1" s="35" t="inlineStr">
        <is>
          <t>DISTIL — Ablation Study Preview</t>
        </is>
      </c>
    </row>
    <row r="2">
      <c r="A2" s="36" t="inlineStr">
        <is>
          <t>One sheet per ablation.</t>
        </is>
      </c>
    </row>
    <row r="4" ht="15" customHeight="1" s="76">
      <c r="A4" s="29" t="n"/>
    </row>
    <row r="5"/>
    <row r="7" ht="18" customHeight="1" s="76">
      <c r="A7" s="35" t="inlineStr">
        <is>
          <t>Index of sheets</t>
        </is>
      </c>
    </row>
    <row r="8">
      <c r="A8" s="37" t="inlineStr">
        <is>
          <t>Sheet</t>
        </is>
      </c>
      <c r="B8" s="37" t="inlineStr">
        <is>
          <t>What it tests</t>
        </is>
      </c>
      <c r="C8" s="37" t="n"/>
      <c r="D8" s="37" t="inlineStr">
        <is>
          <t>Expected headline</t>
        </is>
      </c>
    </row>
    <row r="9">
      <c r="A9" s="4" t="inlineStr">
        <is>
          <t>GT_SR</t>
        </is>
      </c>
      <c r="B9" s="31" t="inlineStr">
        <is>
          <t>Paper Table 1 (final success rate) — reference anchor</t>
        </is>
      </c>
      <c r="C9" s="38" t="n"/>
      <c r="D9" s="31" t="inlineStr">
        <is>
          <t>Unchanged (transcribed)</t>
        </is>
      </c>
    </row>
    <row r="10">
      <c r="A10" s="4" t="inlineStr">
        <is>
          <t>GT_InfoGain</t>
        </is>
      </c>
      <c r="B10" s="31" t="inlineStr">
        <is>
          <t>Paper Table 2 (per-demo information gain) — anchor</t>
        </is>
      </c>
      <c r="C10" s="38" t="n"/>
      <c r="D10" s="31" t="inlineStr">
        <is>
          <t>Unchanged (transcribed)</t>
        </is>
      </c>
    </row>
    <row r="11">
      <c r="A11" s="4" t="inlineStr">
        <is>
          <t>A1_Memory_Off</t>
        </is>
      </c>
      <c r="B11" s="31" t="inlineStr">
        <is>
          <t>Set lambda=0 / remove cluster memory (Eq 9)</t>
        </is>
      </c>
      <c r="C11" s="38" t="n"/>
      <c r="D11" s="31" t="inlineStr">
        <is>
          <t>Big drop on Push-T/Wipe/GW; ~flat on Lift (kernel already flat)</t>
        </is>
      </c>
    </row>
    <row r="12">
      <c r="A12" s="4" t="inlineStr">
        <is>
          <t>A2_RandomAlloc_Robots</t>
        </is>
      </c>
      <c r="B12" s="31" t="inlineStr">
        <is>
          <t>Stagger (uniform-random failure) on the 8 robot cells</t>
        </is>
      </c>
      <c r="C12" s="38" t="n"/>
      <c r="D12" s="31" t="inlineStr">
        <is>
          <t>Lands among baselines, below Diff-DAgger, well below DISTIL</t>
        </is>
      </c>
    </row>
    <row r="13">
      <c r="A13" s="4" t="inlineStr">
        <is>
          <t>A3_Clustering_Off</t>
        </is>
      </c>
      <c r="B13" s="31" t="inlineStr">
        <is>
          <t>Greedy worst-loss / no mode structure</t>
        </is>
      </c>
      <c r="C13" s="38" t="n"/>
      <c r="D13" s="31" t="inlineStr">
        <is>
          <t>High info gain retained but SR drops — 'gain != success'</t>
        </is>
      </c>
    </row>
    <row r="14" ht="25" customHeight="1" s="76">
      <c r="A14" s="4" t="inlineStr">
        <is>
          <t>A4_LLM_vs_Heuristic</t>
        </is>
      </c>
      <c r="B14" s="31" t="inlineStr">
        <is>
          <t>Replace LLM prescription with fixed heuristic</t>
        </is>
      </c>
      <c r="C14" s="38" t="n"/>
      <c r="D14" s="31" t="inlineStr">
        <is>
          <t>SMALL gap — LLM's marginal value may be modest (watch out)</t>
        </is>
      </c>
    </row>
    <row r="15">
      <c r="A15" s="4" t="inlineStr">
        <is>
          <t>A5_VLM_Off</t>
        </is>
      </c>
      <c r="B15" s="31" t="inlineStr">
        <is>
          <t>Drop visual frames; geometry+labels only</t>
        </is>
      </c>
      <c r="C15" s="38" t="n"/>
      <c r="D15" s="31" t="inlineStr">
        <is>
          <t>SMALL gap — VLM mainly informs root-cause quality</t>
        </is>
      </c>
    </row>
    <row r="16">
      <c r="A16" s="4" t="inlineStr">
        <is>
          <t>A6_KAG_Off</t>
        </is>
      </c>
      <c r="B16" s="31" t="inlineStr">
        <is>
          <t>Remove per-task knowledge graph from prompt</t>
        </is>
      </c>
      <c r="C16" s="38" t="n"/>
      <c r="D16" s="31" t="inlineStr">
        <is>
          <t>Modest SR drop + higher fallback / infeasible rate</t>
        </is>
      </c>
    </row>
    <row r="17" ht="25" customHeight="1" s="76">
      <c r="A17" s="4" t="inlineStr">
        <is>
          <t>A7_Bridging_Off</t>
        </is>
      </c>
      <c r="B17" s="31" t="inlineStr">
        <is>
          <t>Targeted-only on all task</t>
        </is>
      </c>
      <c r="C17" s="38" t="n"/>
      <c r="D17" s="31" t="inlineStr">
        <is>
          <t>Small (bridging is 15-30% of rounds); but turning it off might take slightly more demonstration to reach DISTIL SR</t>
        </is>
      </c>
    </row>
    <row r="18">
      <c r="A18" s="4" t="inlineStr">
        <is>
          <t>A8_Fallback_Only</t>
        </is>
      </c>
      <c r="B18" s="31" t="inlineStr">
        <is>
          <t>Nearest-untried failure every round, no LLM</t>
        </is>
      </c>
      <c r="C18" s="38" t="n"/>
      <c r="D18" s="31" t="inlineStr">
        <is>
          <t>Between random-alloc and Diff-DAgger</t>
        </is>
      </c>
    </row>
    <row r="19">
      <c r="A19" s="4" t="inlineStr">
        <is>
          <t>A9_ContextSet_S</t>
        </is>
      </c>
      <c r="B19" s="31" t="inlineStr">
        <is>
          <t>Ablate FPS fill / worst-loss seed / forced rep</t>
        </is>
      </c>
      <c r="C19" s="38" t="n"/>
      <c r="D19" s="31" t="inlineStr">
        <is>
          <t>FPS beats random fill by a small margin</t>
        </is>
      </c>
    </row>
    <row r="20">
      <c r="A20" s="4" t="inlineStr">
        <is>
          <t>A10_Descriptor_Feats</t>
        </is>
      </c>
      <c r="B20" s="31" t="inlineStr">
        <is>
          <t>Drop delta / orientation / progress from Eq 7</t>
        </is>
      </c>
      <c r="C20" s="38" t="n"/>
      <c r="D20" s="31" t="inlineStr">
        <is>
          <t>Contact hurts on Wipe/Lift/Door; orientation on Push-T</t>
        </is>
      </c>
    </row>
    <row r="21" ht="37.5" customHeight="1" s="76">
      <c r="A21" s="4" t="inlineStr">
        <is>
          <t>A12_Demos_PerRound</t>
        </is>
      </c>
      <c r="B21" s="31" t="inlineStr">
        <is>
          <t>D in {1,2,3} demonstrations per round</t>
        </is>
      </c>
      <c r="C21" s="38" t="n"/>
      <c r="D21" s="55" t="inlineStr">
        <is>
          <t xml:space="preserve">D=1 best final SR at fixed budget; D=2/3 slightly lower, and also say that D=1 inspiration was taken from STAGGER and it proves right for us as well. </t>
        </is>
      </c>
      <c r="E21" t="inlineStr">
        <is>
          <t>Hold in A12 to put in CoC Docs for now</t>
        </is>
      </c>
    </row>
    <row r="22">
      <c r="A22" s="4" t="inlineStr">
        <is>
          <t>A13_Memory_Constants</t>
        </is>
      </c>
      <c r="B22" s="31" t="inlineStr">
        <is>
          <t>Sensitivity of gamma / sigma / lambda</t>
        </is>
      </c>
      <c r="C22" s="38" t="n"/>
      <c r="D22" s="31" t="inlineStr">
        <is>
          <t>Plateau of good values around chosen constants</t>
        </is>
      </c>
    </row>
    <row r="23">
      <c r="A23" s="4" t="inlineStr">
        <is>
          <t>A14_k_Selection</t>
        </is>
      </c>
      <c r="B23" s="31" t="inlineStr">
        <is>
          <t>Silhouette vs fixed k=2..5</t>
        </is>
      </c>
      <c r="C23" s="38" t="n"/>
      <c r="D23" s="31" t="inlineStr">
        <is>
          <t>Silhouette ~= best fixed k; k=3 often near-optimal</t>
        </is>
      </c>
    </row>
    <row r="24" ht="25" customHeight="1" s="76">
      <c r="A24" s="33" t="inlineStr">
        <is>
          <t>A15_Cited_Episodes</t>
        </is>
      </c>
      <c r="B24" s="31" t="inlineStr">
        <is>
          <t>How many failure episodes cited to the LLM, and by which rule</t>
        </is>
      </c>
      <c r="C24" s="38" t="n"/>
      <c r="D24" s="31" t="inlineStr">
        <is>
          <t>Top-3-by-loss ~ Full S → the rep+worst+FPS construction may be cuttable</t>
        </is>
      </c>
    </row>
    <row r="25">
      <c r="A25" s="4" t="inlineStr">
        <is>
          <t>D1_Cluster_Purity</t>
        </is>
      </c>
      <c r="B25" s="31" t="inlineStr">
        <is>
          <t>Root-cause label purity per geometric cluster</t>
        </is>
      </c>
      <c r="C25" s="38" t="n"/>
      <c r="D25" s="31" t="inlineStr">
        <is>
          <t>0.72-0.93; lower on hard/image cells</t>
        </is>
      </c>
    </row>
    <row r="26">
      <c r="A26" s="4" t="inlineStr">
        <is>
          <t>D2_kStar_Dist</t>
        </is>
      </c>
      <c r="B26" s="31" t="inlineStr">
        <is>
          <t>Distribution of chosen k across rounds</t>
        </is>
      </c>
      <c r="C26" s="38" t="n"/>
      <c r="D26" s="31" t="inlineStr">
        <is>
          <t>Mode at 3, spread 2-4</t>
        </is>
      </c>
    </row>
    <row r="27">
      <c r="A27" s="4" t="inlineStr">
        <is>
          <t>D3_Bridge_Split</t>
        </is>
      </c>
      <c r="B27" s="31" t="inlineStr">
        <is>
          <t>Bridge vs targeted usage per task</t>
        </is>
      </c>
      <c r="C27" s="38" t="n"/>
      <c r="D27" s="31" t="inlineStr">
        <is>
          <t>15-30% bridge</t>
        </is>
      </c>
    </row>
    <row r="28">
      <c r="A28" s="4" t="inlineStr">
        <is>
          <t>D4_FailureCount</t>
        </is>
      </c>
      <c r="B28" s="31" t="inlineStr">
        <is>
          <t>Failures per round over the budget</t>
        </is>
      </c>
      <c r="C28" s="38" t="n"/>
      <c r="D28" s="31" t="inlineStr">
        <is>
          <t>Decreases; N&lt;=3 common in late rounds</t>
        </is>
      </c>
    </row>
    <row r="29">
      <c r="A29" s="4" t="inlineStr">
        <is>
          <t>D5_Compute</t>
        </is>
      </c>
      <c r="B29" s="31" t="inlineStr">
        <is>
          <t>Wall-clock and tokens per round vs baselines</t>
        </is>
      </c>
      <c r="C29" s="38" t="n"/>
      <c r="D29" s="31" t="inlineStr">
        <is>
          <t>DISTIL adds seconds + ~10-16k tokens/round</t>
        </is>
      </c>
    </row>
    <row r="30">
      <c r="A30" s="4" t="inlineStr">
        <is>
          <t>S1_SignTest</t>
        </is>
      </c>
      <c r="B30" s="31" t="inlineStr">
        <is>
          <t>Sign test / Wilcoxon over the 10 paired means</t>
        </is>
      </c>
      <c r="C30" s="38" t="n"/>
      <c r="D30" s="31" t="inlineStr">
        <is>
          <t>10/10 sweep, one-sided p ~= 0.001</t>
        </is>
      </c>
    </row>
    <row r="31">
      <c r="A31" s="4" t="n"/>
      <c r="B31" s="31" t="n"/>
      <c r="C31" s="38" t="n"/>
      <c r="D31" s="31" t="n"/>
    </row>
  </sheetData>
  <mergeCells count="1">
    <mergeCell ref="A4:H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6"/>
  <sheetViews>
    <sheetView showGridLines="0" zoomScaleNormal="100" workbookViewId="0">
      <selection activeCell="B19" sqref="B19"/>
    </sheetView>
  </sheetViews>
  <sheetFormatPr baseColWidth="8" defaultColWidth="8.6328125" defaultRowHeight="14.5"/>
  <cols>
    <col width="15" customWidth="1" style="76" min="1" max="1"/>
    <col width="8" customWidth="1" style="76" min="2" max="2"/>
    <col width="13" customWidth="1" style="76" min="3" max="9"/>
    <col width="12.36328125" bestFit="1" customWidth="1" style="76" min="10" max="10"/>
  </cols>
  <sheetData>
    <row r="1" ht="18" customHeight="1" s="76">
      <c r="A1" s="35" t="inlineStr">
        <is>
          <t>Ground truth — Final held-out success rate (%) at B=20</t>
        </is>
      </c>
    </row>
    <row r="2">
      <c r="A2" s="36" t="inlineStr">
        <is>
          <t>Transcribed from paper Table 1. Reference anchor for all ablation sheets. mean ± 1 std.</t>
        </is>
      </c>
    </row>
    <row r="4">
      <c r="A4" s="37" t="inlineStr">
        <is>
          <t>Task</t>
        </is>
      </c>
      <c r="B4" s="37" t="inlineStr">
        <is>
          <t>Obs</t>
        </is>
      </c>
      <c r="C4" s="37" t="inlineStr">
        <is>
          <t>Safe</t>
        </is>
      </c>
      <c r="D4" s="37" t="inlineStr">
        <is>
          <t>Dropout</t>
        </is>
      </c>
      <c r="E4" s="37" t="inlineStr">
        <is>
          <t>Ensemble</t>
        </is>
      </c>
      <c r="F4" s="37" t="inlineStr">
        <is>
          <t>Thrifty</t>
        </is>
      </c>
      <c r="G4" s="37" t="inlineStr">
        <is>
          <t>Stagger</t>
        </is>
      </c>
      <c r="H4" s="37" t="inlineStr">
        <is>
          <t>Diff-DAgger</t>
        </is>
      </c>
      <c r="I4" s="37" t="inlineStr">
        <is>
          <t>DISTIL</t>
        </is>
      </c>
      <c r="J4" s="37" t="inlineStr">
        <is>
          <t>Best baseline</t>
        </is>
      </c>
    </row>
    <row r="5">
      <c r="A5" s="39" t="inlineStr">
        <is>
          <t>GridWorld 5x5</t>
        </is>
      </c>
      <c r="B5" s="38" t="inlineStr">
        <is>
          <t>state</t>
        </is>
      </c>
      <c r="C5" s="38" t="inlineStr">
        <is>
          <t>85.3 ± 2.7</t>
        </is>
      </c>
      <c r="D5" s="38" t="inlineStr">
        <is>
          <t>84.9 ± 2.5</t>
        </is>
      </c>
      <c r="E5" s="38" t="inlineStr">
        <is>
          <t>86.2 ± 2.1</t>
        </is>
      </c>
      <c r="F5" s="38" t="inlineStr">
        <is>
          <t>86.8 ± 2.0</t>
        </is>
      </c>
      <c r="G5" s="38" t="inlineStr">
        <is>
          <t>85.7 ± 1.5</t>
        </is>
      </c>
      <c r="H5" s="38" t="inlineStr">
        <is>
          <t>–</t>
        </is>
      </c>
      <c r="I5" s="8" t="inlineStr">
        <is>
          <t>89.9 ± 1.3</t>
        </is>
      </c>
      <c r="J5" s="40" t="n">
        <v>86.8</v>
      </c>
    </row>
    <row r="6">
      <c r="A6" s="39" t="inlineStr">
        <is>
          <t>GridWorld 5x5</t>
        </is>
      </c>
      <c r="B6" s="38" t="inlineStr">
        <is>
          <t>image</t>
        </is>
      </c>
      <c r="C6" s="38" t="inlineStr">
        <is>
          <t>86.1 ± 2.8</t>
        </is>
      </c>
      <c r="D6" s="38" t="inlineStr">
        <is>
          <t>85.8 ± 2.6</t>
        </is>
      </c>
      <c r="E6" s="38" t="inlineStr">
        <is>
          <t>85.7 ± 2.2</t>
        </is>
      </c>
      <c r="F6" s="38" t="inlineStr">
        <is>
          <t>87.1 ± 1.9</t>
        </is>
      </c>
      <c r="G6" s="38" t="inlineStr">
        <is>
          <t>86.6 ± 2.3</t>
        </is>
      </c>
      <c r="H6" s="38" t="inlineStr">
        <is>
          <t>–</t>
        </is>
      </c>
      <c r="I6" s="8" t="inlineStr">
        <is>
          <t>89.6 ± 1.8</t>
        </is>
      </c>
      <c r="J6" s="40" t="n">
        <v>87.09999999999999</v>
      </c>
    </row>
    <row r="7">
      <c r="A7" s="39" t="inlineStr">
        <is>
          <t>Push-T</t>
        </is>
      </c>
      <c r="B7" s="38" t="inlineStr">
        <is>
          <t>state</t>
        </is>
      </c>
      <c r="C7" s="38" t="inlineStr">
        <is>
          <t>82.0 ± 6.8</t>
        </is>
      </c>
      <c r="D7" s="38" t="inlineStr">
        <is>
          <t>84.8 ± 6.1</t>
        </is>
      </c>
      <c r="E7" s="38" t="inlineStr">
        <is>
          <t>85.9 ± 5.8</t>
        </is>
      </c>
      <c r="F7" s="38" t="inlineStr">
        <is>
          <t>83.2 ± 7.2</t>
        </is>
      </c>
      <c r="G7" s="38" t="inlineStr">
        <is>
          <t>–</t>
        </is>
      </c>
      <c r="H7" s="38" t="inlineStr">
        <is>
          <t>90.7 ± 4.5</t>
        </is>
      </c>
      <c r="I7" s="8" t="inlineStr">
        <is>
          <t>96.1 ± 4.5</t>
        </is>
      </c>
      <c r="J7" s="40" t="n">
        <v>90.7</v>
      </c>
    </row>
    <row r="8">
      <c r="A8" s="39" t="inlineStr">
        <is>
          <t>Push-T</t>
        </is>
      </c>
      <c r="B8" s="38" t="inlineStr">
        <is>
          <t>image</t>
        </is>
      </c>
      <c r="C8" s="38" t="inlineStr">
        <is>
          <t>78.1 ± 7.8</t>
        </is>
      </c>
      <c r="D8" s="38" t="inlineStr">
        <is>
          <t>82.1 ± 6.9</t>
        </is>
      </c>
      <c r="E8" s="38" t="inlineStr">
        <is>
          <t>83.2 ± 6.6</t>
        </is>
      </c>
      <c r="F8" s="38" t="inlineStr">
        <is>
          <t>79.3 ± 8.1</t>
        </is>
      </c>
      <c r="G8" s="38" t="inlineStr">
        <is>
          <t>–</t>
        </is>
      </c>
      <c r="H8" s="38" t="inlineStr">
        <is>
          <t>89.0 ± 4.8</t>
        </is>
      </c>
      <c r="I8" s="8" t="inlineStr">
        <is>
          <t>93.9 ± 4.9</t>
        </is>
      </c>
      <c r="J8" s="40" t="n">
        <v>89</v>
      </c>
    </row>
    <row r="9">
      <c r="A9" s="39" t="inlineStr">
        <is>
          <t>Lift</t>
        </is>
      </c>
      <c r="B9" s="38" t="inlineStr">
        <is>
          <t>state</t>
        </is>
      </c>
      <c r="C9" s="38" t="inlineStr">
        <is>
          <t>99.2 ± 1.6</t>
        </is>
      </c>
      <c r="D9" s="38" t="inlineStr">
        <is>
          <t>99.2 ± 1.0</t>
        </is>
      </c>
      <c r="E9" s="38" t="inlineStr">
        <is>
          <t>99.2 ± 1.0</t>
        </is>
      </c>
      <c r="F9" s="38" t="inlineStr">
        <is>
          <t>98.8 ± 2.4</t>
        </is>
      </c>
      <c r="G9" s="38" t="inlineStr">
        <is>
          <t>–</t>
        </is>
      </c>
      <c r="H9" s="38" t="inlineStr">
        <is>
          <t>99.2 ± 1.0</t>
        </is>
      </c>
      <c r="I9" s="8" t="inlineStr">
        <is>
          <t>100.0 ± 0.0</t>
        </is>
      </c>
      <c r="J9" s="40" t="n">
        <v>99.2</v>
      </c>
    </row>
    <row r="10">
      <c r="A10" s="39" t="inlineStr">
        <is>
          <t>Lift</t>
        </is>
      </c>
      <c r="B10" s="38" t="inlineStr">
        <is>
          <t>image</t>
        </is>
      </c>
      <c r="C10" s="38" t="inlineStr">
        <is>
          <t>99.6 ± 0.8</t>
        </is>
      </c>
      <c r="D10" s="38" t="inlineStr">
        <is>
          <t>97.2 ± 3.5</t>
        </is>
      </c>
      <c r="E10" s="38" t="inlineStr">
        <is>
          <t>98.8 ± 1.6</t>
        </is>
      </c>
      <c r="F10" s="38" t="inlineStr">
        <is>
          <t>99.6 ± 0.8</t>
        </is>
      </c>
      <c r="G10" s="38" t="inlineStr">
        <is>
          <t>–</t>
        </is>
      </c>
      <c r="H10" s="38" t="inlineStr">
        <is>
          <t>99.6 ± 0.8</t>
        </is>
      </c>
      <c r="I10" s="8" t="inlineStr">
        <is>
          <t>100.0 ± 0.0</t>
        </is>
      </c>
      <c r="J10" s="40" t="n">
        <v>99.59999999999999</v>
      </c>
    </row>
    <row r="11">
      <c r="A11" s="39" t="inlineStr">
        <is>
          <t>Wipe</t>
        </is>
      </c>
      <c r="B11" s="38" t="inlineStr">
        <is>
          <t>state</t>
        </is>
      </c>
      <c r="C11" s="38" t="inlineStr">
        <is>
          <t>88.0 ± 2.5</t>
        </is>
      </c>
      <c r="D11" s="38" t="inlineStr">
        <is>
          <t>89.6 ± 4.1</t>
        </is>
      </c>
      <c r="E11" s="38" t="inlineStr">
        <is>
          <t>90.8 ± 4.3</t>
        </is>
      </c>
      <c r="F11" s="38" t="inlineStr">
        <is>
          <t>90.0 ± 2.5</t>
        </is>
      </c>
      <c r="G11" s="38" t="inlineStr">
        <is>
          <t>–</t>
        </is>
      </c>
      <c r="H11" s="38" t="inlineStr">
        <is>
          <t>90.4 ± 6.0</t>
        </is>
      </c>
      <c r="I11" s="8" t="inlineStr">
        <is>
          <t>95.5 ± 6.0</t>
        </is>
      </c>
      <c r="J11" s="40" t="n">
        <v>90.8</v>
      </c>
    </row>
    <row r="12">
      <c r="A12" s="39" t="inlineStr">
        <is>
          <t>Wipe</t>
        </is>
      </c>
      <c r="B12" s="38" t="inlineStr">
        <is>
          <t>image</t>
        </is>
      </c>
      <c r="C12" s="38" t="inlineStr">
        <is>
          <t>69.6 ± 5.3</t>
        </is>
      </c>
      <c r="D12" s="38" t="inlineStr">
        <is>
          <t>83.2 ± 6.8</t>
        </is>
      </c>
      <c r="E12" s="38" t="inlineStr">
        <is>
          <t>84.4 ± 7.1</t>
        </is>
      </c>
      <c r="F12" s="38" t="inlineStr">
        <is>
          <t>69.2 ± 9.0</t>
        </is>
      </c>
      <c r="G12" s="38" t="inlineStr">
        <is>
          <t>–</t>
        </is>
      </c>
      <c r="H12" s="38" t="inlineStr">
        <is>
          <t>89.6 ± 3.2</t>
        </is>
      </c>
      <c r="I12" s="8" t="inlineStr">
        <is>
          <t>95.3 ± 3.2</t>
        </is>
      </c>
      <c r="J12" s="40" t="n">
        <v>89.59999999999999</v>
      </c>
    </row>
    <row r="13">
      <c r="A13" s="39" t="inlineStr">
        <is>
          <t>Door</t>
        </is>
      </c>
      <c r="B13" s="38" t="inlineStr">
        <is>
          <t>state</t>
        </is>
      </c>
      <c r="C13" s="38" t="inlineStr">
        <is>
          <t>93.2 ± 5.2</t>
        </is>
      </c>
      <c r="D13" s="38" t="inlineStr">
        <is>
          <t>92.8 ± 2.7</t>
        </is>
      </c>
      <c r="E13" s="38" t="inlineStr">
        <is>
          <t>88.8 ± 7.0</t>
        </is>
      </c>
      <c r="F13" s="38" t="inlineStr">
        <is>
          <t>89.6 ± 3.9</t>
        </is>
      </c>
      <c r="G13" s="38" t="inlineStr">
        <is>
          <t>–</t>
        </is>
      </c>
      <c r="H13" s="38" t="inlineStr">
        <is>
          <t>95.2 ± 4.3</t>
        </is>
      </c>
      <c r="I13" s="8" t="inlineStr">
        <is>
          <t>98.4 ± 4.2</t>
        </is>
      </c>
      <c r="J13" s="40" t="n">
        <v>95.2</v>
      </c>
    </row>
    <row r="14">
      <c r="A14" s="39" t="inlineStr">
        <is>
          <t>Door</t>
        </is>
      </c>
      <c r="B14" s="38" t="inlineStr">
        <is>
          <t>image</t>
        </is>
      </c>
      <c r="C14" s="38" t="inlineStr">
        <is>
          <t>92.4 ± 3.2</t>
        </is>
      </c>
      <c r="D14" s="38" t="inlineStr">
        <is>
          <t>88.8 ± 3.3</t>
        </is>
      </c>
      <c r="E14" s="38" t="inlineStr">
        <is>
          <t>86.0 ± 10.9</t>
        </is>
      </c>
      <c r="F14" s="38" t="inlineStr">
        <is>
          <t>92.8 ± 2.7</t>
        </is>
      </c>
      <c r="G14" s="38" t="inlineStr">
        <is>
          <t>–</t>
        </is>
      </c>
      <c r="H14" s="38" t="inlineStr">
        <is>
          <t>89.2 ± 3.5</t>
        </is>
      </c>
      <c r="I14" s="8" t="inlineStr">
        <is>
          <t>99.2 ± 3.4</t>
        </is>
      </c>
      <c r="J14" s="40" t="n">
        <v>92.8</v>
      </c>
    </row>
    <row r="15">
      <c r="A15" s="27" t="inlineStr">
        <is>
          <t>Best baseline = max baseline mean per row (transcribed from Table 1, used for margin math on ablation sheets).</t>
        </is>
      </c>
    </row>
    <row r="16" ht="15" customHeight="1" s="76">
      <c r="A16" s="28" t="n"/>
    </row>
  </sheetData>
  <mergeCells count="2">
    <mergeCell ref="A15:J15"/>
    <mergeCell ref="A16:J1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15"/>
  <sheetViews>
    <sheetView showGridLines="0" zoomScaleNormal="100" workbookViewId="0">
      <selection activeCell="C20" sqref="C20"/>
    </sheetView>
  </sheetViews>
  <sheetFormatPr baseColWidth="8" defaultColWidth="8.6328125" defaultRowHeight="14.5"/>
  <cols>
    <col width="15" customWidth="1" style="76" min="1" max="1"/>
    <col width="8" customWidth="1" style="76" min="2" max="2"/>
    <col width="12" customWidth="1" style="76" min="3" max="9"/>
  </cols>
  <sheetData>
    <row r="1" ht="18" customHeight="1" s="76">
      <c r="A1" s="35" t="inlineStr">
        <is>
          <t>Ground truth — Per-demonstration information gain</t>
        </is>
      </c>
    </row>
    <row r="2">
      <c r="A2" s="36" t="inlineStr">
        <is>
          <t>Transcribed from paper Table 2. Pre-retrain policy loss on each newly acquired demonstration (mean).</t>
        </is>
      </c>
    </row>
    <row r="4">
      <c r="A4" s="37" t="inlineStr">
        <is>
          <t>Task</t>
        </is>
      </c>
      <c r="B4" s="37" t="inlineStr">
        <is>
          <t>Obs</t>
        </is>
      </c>
      <c r="C4" s="37" t="inlineStr">
        <is>
          <t>Safe</t>
        </is>
      </c>
      <c r="D4" s="37" t="inlineStr">
        <is>
          <t>Dropout</t>
        </is>
      </c>
      <c r="E4" s="37" t="inlineStr">
        <is>
          <t>Ensemble</t>
        </is>
      </c>
      <c r="F4" s="37" t="inlineStr">
        <is>
          <t>Thrifty</t>
        </is>
      </c>
      <c r="G4" s="37" t="inlineStr">
        <is>
          <t>Stagger</t>
        </is>
      </c>
      <c r="H4" s="37" t="inlineStr">
        <is>
          <t>Diff-DAgger</t>
        </is>
      </c>
      <c r="I4" s="37" t="inlineStr">
        <is>
          <t>DISTIL</t>
        </is>
      </c>
    </row>
    <row r="5">
      <c r="A5" s="39" t="inlineStr">
        <is>
          <t>GridWorld 5x5</t>
        </is>
      </c>
      <c r="B5" s="38" t="inlineStr">
        <is>
          <t>state</t>
        </is>
      </c>
      <c r="C5" s="10" t="n">
        <v>2.55</v>
      </c>
      <c r="D5" s="10" t="n">
        <v>2.95</v>
      </c>
      <c r="E5" s="10" t="n">
        <v>1.33</v>
      </c>
      <c r="F5" s="10" t="n">
        <v>1.34</v>
      </c>
      <c r="G5" s="10" t="n">
        <v>1.83</v>
      </c>
      <c r="H5" s="38" t="inlineStr">
        <is>
          <t>–</t>
        </is>
      </c>
      <c r="I5" s="11" t="n">
        <v>3.55</v>
      </c>
    </row>
    <row r="6">
      <c r="A6" s="39" t="inlineStr">
        <is>
          <t>GridWorld 5x5</t>
        </is>
      </c>
      <c r="B6" s="38" t="inlineStr">
        <is>
          <t>image</t>
        </is>
      </c>
      <c r="C6" s="10" t="n">
        <v>2.46</v>
      </c>
      <c r="D6" s="10" t="n">
        <v>2.53</v>
      </c>
      <c r="E6" s="10" t="n">
        <v>1.57</v>
      </c>
      <c r="F6" s="10" t="n">
        <v>1.37</v>
      </c>
      <c r="G6" s="10" t="n">
        <v>1.88</v>
      </c>
      <c r="H6" s="38" t="inlineStr">
        <is>
          <t>–</t>
        </is>
      </c>
      <c r="I6" s="11" t="n">
        <v>3.21</v>
      </c>
    </row>
    <row r="7">
      <c r="A7" s="39" t="inlineStr">
        <is>
          <t>Push-T</t>
        </is>
      </c>
      <c r="B7" s="38" t="inlineStr">
        <is>
          <t>state</t>
        </is>
      </c>
      <c r="C7" s="10" t="n">
        <v>1.66</v>
      </c>
      <c r="D7" s="10" t="n">
        <v>2.36</v>
      </c>
      <c r="E7" s="10" t="n">
        <v>1.11</v>
      </c>
      <c r="F7" s="10" t="n">
        <v>1.1</v>
      </c>
      <c r="G7" s="38" t="inlineStr">
        <is>
          <t>–</t>
        </is>
      </c>
      <c r="H7" s="10" t="n">
        <v>1.57</v>
      </c>
      <c r="I7" s="11" t="n">
        <v>2.81</v>
      </c>
    </row>
    <row r="8">
      <c r="A8" s="39" t="inlineStr">
        <is>
          <t>Push-T</t>
        </is>
      </c>
      <c r="B8" s="38" t="inlineStr">
        <is>
          <t>image</t>
        </is>
      </c>
      <c r="C8" s="10" t="n">
        <v>2.04</v>
      </c>
      <c r="D8" s="10" t="n">
        <v>2.16</v>
      </c>
      <c r="E8" s="10" t="n">
        <v>1.06</v>
      </c>
      <c r="F8" s="10" t="n">
        <v>1.2</v>
      </c>
      <c r="G8" s="38" t="inlineStr">
        <is>
          <t>–</t>
        </is>
      </c>
      <c r="H8" s="10" t="n">
        <v>1.8</v>
      </c>
      <c r="I8" s="11" t="n">
        <v>2.82</v>
      </c>
    </row>
    <row r="9">
      <c r="A9" s="39" t="inlineStr">
        <is>
          <t>Lift</t>
        </is>
      </c>
      <c r="B9" s="38" t="inlineStr">
        <is>
          <t>state</t>
        </is>
      </c>
      <c r="C9" s="10" t="n">
        <v>2.23</v>
      </c>
      <c r="D9" s="10" t="n">
        <v>2.1</v>
      </c>
      <c r="E9" s="10" t="n">
        <v>1.12</v>
      </c>
      <c r="F9" s="10" t="n">
        <v>1.13</v>
      </c>
      <c r="G9" s="38" t="inlineStr">
        <is>
          <t>–</t>
        </is>
      </c>
      <c r="H9" s="10" t="n">
        <v>1.61</v>
      </c>
      <c r="I9" s="11" t="n">
        <v>2.64</v>
      </c>
    </row>
    <row r="10">
      <c r="A10" s="39" t="inlineStr">
        <is>
          <t>Lift</t>
        </is>
      </c>
      <c r="B10" s="38" t="inlineStr">
        <is>
          <t>image</t>
        </is>
      </c>
      <c r="C10" s="10" t="n">
        <v>2.18</v>
      </c>
      <c r="D10" s="10" t="n">
        <v>2.17</v>
      </c>
      <c r="E10" s="10" t="n">
        <v>1</v>
      </c>
      <c r="F10" s="10" t="n">
        <v>1.21</v>
      </c>
      <c r="G10" s="38" t="inlineStr">
        <is>
          <t>–</t>
        </is>
      </c>
      <c r="H10" s="10" t="n">
        <v>1.36</v>
      </c>
      <c r="I10" s="11" t="n">
        <v>2.93</v>
      </c>
    </row>
    <row r="11">
      <c r="A11" s="39" t="inlineStr">
        <is>
          <t>Wipe</t>
        </is>
      </c>
      <c r="B11" s="38" t="inlineStr">
        <is>
          <t>state</t>
        </is>
      </c>
      <c r="C11" s="10" t="n">
        <v>2.02</v>
      </c>
      <c r="D11" s="10" t="n">
        <v>2.38</v>
      </c>
      <c r="E11" s="10" t="n">
        <v>1.23</v>
      </c>
      <c r="F11" s="10" t="n">
        <v>1.18</v>
      </c>
      <c r="G11" s="38" t="inlineStr">
        <is>
          <t>–</t>
        </is>
      </c>
      <c r="H11" s="10" t="n">
        <v>1.43</v>
      </c>
      <c r="I11" s="11" t="n">
        <v>2.91</v>
      </c>
    </row>
    <row r="12">
      <c r="A12" s="39" t="inlineStr">
        <is>
          <t>Wipe</t>
        </is>
      </c>
      <c r="B12" s="38" t="inlineStr">
        <is>
          <t>image</t>
        </is>
      </c>
      <c r="C12" s="10" t="n">
        <v>2.5</v>
      </c>
      <c r="D12" s="10" t="n">
        <v>2.96</v>
      </c>
      <c r="E12" s="10" t="n">
        <v>1.43</v>
      </c>
      <c r="F12" s="10" t="n">
        <v>1.52</v>
      </c>
      <c r="G12" s="38" t="inlineStr">
        <is>
          <t>–</t>
        </is>
      </c>
      <c r="H12" s="10" t="n">
        <v>1.95</v>
      </c>
      <c r="I12" s="11" t="n">
        <v>3.62</v>
      </c>
    </row>
    <row r="13">
      <c r="A13" s="39" t="inlineStr">
        <is>
          <t>Door</t>
        </is>
      </c>
      <c r="B13" s="38" t="inlineStr">
        <is>
          <t>state</t>
        </is>
      </c>
      <c r="C13" s="10" t="n">
        <v>2.53</v>
      </c>
      <c r="D13" s="10" t="n">
        <v>3.1</v>
      </c>
      <c r="E13" s="10" t="n">
        <v>1.43</v>
      </c>
      <c r="F13" s="10" t="n">
        <v>1.42</v>
      </c>
      <c r="G13" s="38" t="inlineStr">
        <is>
          <t>–</t>
        </is>
      </c>
      <c r="H13" s="10" t="n">
        <v>1.84</v>
      </c>
      <c r="I13" s="11" t="n">
        <v>3.43</v>
      </c>
    </row>
    <row r="14">
      <c r="A14" s="39" t="inlineStr">
        <is>
          <t>Door</t>
        </is>
      </c>
      <c r="B14" s="38" t="inlineStr">
        <is>
          <t>image</t>
        </is>
      </c>
      <c r="C14" s="10" t="n">
        <v>2.35</v>
      </c>
      <c r="D14" s="10" t="n">
        <v>2.46</v>
      </c>
      <c r="E14" s="10" t="n">
        <v>1.24</v>
      </c>
      <c r="F14" s="10" t="n">
        <v>1.26</v>
      </c>
      <c r="G14" s="38" t="inlineStr">
        <is>
          <t>–</t>
        </is>
      </c>
      <c r="H14" s="10" t="n">
        <v>1.58</v>
      </c>
      <c r="I14" s="11" t="n">
        <v>3</v>
      </c>
    </row>
    <row r="15" ht="22.4" customHeight="1" s="76">
      <c r="A15" s="28" t="n"/>
    </row>
  </sheetData>
  <mergeCells count="1">
    <mergeCell ref="A15:I15"/>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22"/>
  <sheetViews>
    <sheetView showGridLines="0" topLeftCell="A4" zoomScaleNormal="100" workbookViewId="0">
      <selection activeCell="A20" sqref="A20:G20"/>
    </sheetView>
  </sheetViews>
  <sheetFormatPr baseColWidth="8" defaultColWidth="8.6328125" defaultRowHeight="14.5"/>
  <cols>
    <col width="15" customWidth="1" style="76" min="1" max="1"/>
    <col width="8" customWidth="1" style="76" min="2" max="2"/>
    <col width="17" customWidth="1" style="76" min="3" max="4"/>
    <col width="24.90625" bestFit="1" customWidth="1" style="76" min="5" max="5"/>
    <col width="14.08984375" bestFit="1" customWidth="1" style="76" min="6" max="6"/>
    <col width="17" customWidth="1" style="76" min="7" max="7"/>
    <col width="11" customWidth="1" style="76" min="9" max="9"/>
  </cols>
  <sheetData>
    <row r="1" ht="18" customHeight="1" s="76">
      <c r="A1" s="35" t="inlineStr">
        <is>
          <t>A1 — Cluster memory OFF (λ = 0)</t>
        </is>
      </c>
    </row>
    <row r="2">
      <c r="A2" s="36" t="inlineStr">
        <is>
          <t>Removes Eq 9. Isolates the allocation/rotation mechanism.</t>
        </is>
      </c>
    </row>
    <row r="4" ht="23.9" customHeight="1" s="76">
      <c r="A4" s="41" t="inlineStr">
        <is>
          <t>What is ablated</t>
        </is>
      </c>
      <c r="B4" s="26" t="inlineStr">
        <is>
          <t>The recency-discounted Gaussian memory (Eq 9) is disabled: no penalty on recently corrected regions, no rotation among near-dominant clusters.</t>
        </is>
      </c>
    </row>
    <row r="5" ht="35" customHeight="1" s="76">
      <c r="A5" s="41" t="inlineStr">
        <is>
          <t>Hypothesis (what should happen)</t>
        </is>
      </c>
      <c r="B5" s="26" t="inlineStr">
        <is>
          <t>Budget gets absorbed by the dominant mode → margin over baselines should collapse most where several modes recur (Push-T, Wipe, GridWorld) and stay ~flat on Lift, where you already note the kernel is nearly flat.</t>
        </is>
      </c>
    </row>
    <row r="6" ht="23.9" customHeight="1" s="76">
      <c r="A6" s="41" t="inlineStr">
        <is>
          <t>If the gap is ~0, it means</t>
        </is>
      </c>
      <c r="B6" s="26" t="inlineStr">
        <is>
          <t>The cluster memory — a headline equation and half of contribution (2) — is decorative. This is the single most important knockout to run first.</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row>
    <row r="9">
      <c r="A9" s="39" t="inlineStr">
        <is>
          <t>GridWorld 5x5</t>
        </is>
      </c>
      <c r="B9" s="38" t="inlineStr">
        <is>
          <t>state</t>
        </is>
      </c>
      <c r="C9" s="40" t="n">
        <v>89.90000000000001</v>
      </c>
      <c r="D9" s="40" t="n">
        <v>86.8</v>
      </c>
      <c r="E9" s="80" t="inlineStr">
        <is>
          <t>89.4 ± 1.6</t>
        </is>
      </c>
      <c r="F9" s="42">
        <f>I9-C9</f>
        <v/>
      </c>
      <c r="G9" s="43">
        <f>IF((C9-D9)=0,"",(I9-D9)/(C9-D9))</f>
        <v/>
      </c>
      <c r="I9" s="44" t="n">
        <v>89.40000000000001</v>
      </c>
    </row>
    <row r="10">
      <c r="A10" s="39" t="inlineStr">
        <is>
          <t>GridWorld 5x5</t>
        </is>
      </c>
      <c r="B10" s="38" t="inlineStr">
        <is>
          <t>image</t>
        </is>
      </c>
      <c r="C10" s="40" t="n">
        <v>89.59999999999999</v>
      </c>
      <c r="D10" s="40" t="n">
        <v>87.09999999999999</v>
      </c>
      <c r="E10" s="80" t="inlineStr">
        <is>
          <t>89.0 ± 1.8</t>
        </is>
      </c>
      <c r="F10" s="42">
        <f>I10-C10</f>
        <v/>
      </c>
      <c r="G10" s="43">
        <f>IF((C10-D10)=0,"",(I10-D10)/(C10-D10))</f>
        <v/>
      </c>
      <c r="I10" s="44" t="n">
        <v>89</v>
      </c>
    </row>
    <row r="11">
      <c r="A11" s="39" t="inlineStr">
        <is>
          <t>Push-T</t>
        </is>
      </c>
      <c r="B11" s="38" t="inlineStr">
        <is>
          <t>state</t>
        </is>
      </c>
      <c r="C11" s="40" t="n">
        <v>96.09999999999999</v>
      </c>
      <c r="D11" s="40" t="n">
        <v>90.7</v>
      </c>
      <c r="E11" s="80" t="inlineStr">
        <is>
          <t>95.7 ± 4.8</t>
        </is>
      </c>
      <c r="F11" s="42">
        <f>I11-C11</f>
        <v/>
      </c>
      <c r="G11" s="43">
        <f>IF((C11-D11)=0,"",(I11-D11)/(C11-D11))</f>
        <v/>
      </c>
      <c r="I11" s="44" t="n">
        <v>95.7</v>
      </c>
    </row>
    <row r="12">
      <c r="A12" s="39" t="inlineStr">
        <is>
          <t>Push-T</t>
        </is>
      </c>
      <c r="B12" s="38" t="inlineStr">
        <is>
          <t>image</t>
        </is>
      </c>
      <c r="C12" s="40" t="n">
        <v>93.90000000000001</v>
      </c>
      <c r="D12" s="40" t="n">
        <v>89</v>
      </c>
      <c r="E12" s="80" t="inlineStr">
        <is>
          <t>93.1 ± 5.5</t>
        </is>
      </c>
      <c r="F12" s="42">
        <f>I12-C12</f>
        <v/>
      </c>
      <c r="G12" s="43">
        <f>IF((C12-D12)=0,"",(I12-D12)/(C12-D12))</f>
        <v/>
      </c>
      <c r="I12" s="44" t="n">
        <v>93.09999999999999</v>
      </c>
    </row>
    <row r="13">
      <c r="A13" s="39" t="inlineStr">
        <is>
          <t>Lift</t>
        </is>
      </c>
      <c r="B13" s="38" t="inlineStr">
        <is>
          <t>state</t>
        </is>
      </c>
      <c r="C13" s="40" t="n">
        <v>100</v>
      </c>
      <c r="D13" s="40" t="n">
        <v>99.2</v>
      </c>
      <c r="E13" s="38" t="inlineStr">
        <is>
          <t>99.9 ± 0.8</t>
        </is>
      </c>
      <c r="F13" s="42">
        <f>I13-C13</f>
        <v/>
      </c>
      <c r="G13" s="43">
        <f>IF((C13-D13)=0,"",(I13-D13)/(C13-D13))</f>
        <v/>
      </c>
      <c r="I13" s="44" t="n">
        <v>99.90000000000001</v>
      </c>
    </row>
    <row r="14">
      <c r="A14" s="39" t="inlineStr">
        <is>
          <t>Lift</t>
        </is>
      </c>
      <c r="B14" s="38" t="inlineStr">
        <is>
          <t>image</t>
        </is>
      </c>
      <c r="C14" s="40" t="n">
        <v>100</v>
      </c>
      <c r="D14" s="40" t="n">
        <v>99.59999999999999</v>
      </c>
      <c r="E14" s="38" t="inlineStr">
        <is>
          <t>99.9 ± 0.8</t>
        </is>
      </c>
      <c r="F14" s="42">
        <f>I14-C14</f>
        <v/>
      </c>
      <c r="G14" s="43">
        <f>IF((C14-D14)=0,"",(I14-D14)/(C14-D14))</f>
        <v/>
      </c>
      <c r="I14" s="44" t="n">
        <v>99.90000000000001</v>
      </c>
    </row>
    <row r="15">
      <c r="A15" s="39" t="inlineStr">
        <is>
          <t>Wipe</t>
        </is>
      </c>
      <c r="B15" s="38" t="inlineStr">
        <is>
          <t>state</t>
        </is>
      </c>
      <c r="C15" s="40" t="n">
        <v>95.5</v>
      </c>
      <c r="D15" s="40" t="n">
        <v>90.8</v>
      </c>
      <c r="E15" s="80" t="inlineStr">
        <is>
          <t>94.4 ± 6.0</t>
        </is>
      </c>
      <c r="F15" s="42">
        <f>I15-C15</f>
        <v/>
      </c>
      <c r="G15" s="43">
        <f>IF((C15-D15)=0,"",(I15-D15)/(C15-D15))</f>
        <v/>
      </c>
      <c r="I15" s="44" t="n">
        <v>94.40000000000001</v>
      </c>
    </row>
    <row r="16">
      <c r="A16" s="39" t="inlineStr">
        <is>
          <t>Wipe</t>
        </is>
      </c>
      <c r="B16" s="38" t="inlineStr">
        <is>
          <t>image</t>
        </is>
      </c>
      <c r="C16" s="40" t="n">
        <v>95.3</v>
      </c>
      <c r="D16" s="40" t="n">
        <v>89.59999999999999</v>
      </c>
      <c r="E16" s="80" t="inlineStr">
        <is>
          <t>94.1 ± 3.6</t>
        </is>
      </c>
      <c r="F16" s="42">
        <f>I16-C16</f>
        <v/>
      </c>
      <c r="G16" s="43">
        <f>IF((C16-D16)=0,"",(I16-D16)/(C16-D16))</f>
        <v/>
      </c>
      <c r="I16" s="44" t="n">
        <v>94.09999999999999</v>
      </c>
    </row>
    <row r="17">
      <c r="A17" s="39" t="inlineStr">
        <is>
          <t>Door</t>
        </is>
      </c>
      <c r="B17" s="38" t="inlineStr">
        <is>
          <t>state</t>
        </is>
      </c>
      <c r="C17" s="40" t="n">
        <v>98.40000000000001</v>
      </c>
      <c r="D17" s="40" t="n">
        <v>95.2</v>
      </c>
      <c r="E17" s="80" t="inlineStr">
        <is>
          <t>98.2 ± 4.4</t>
        </is>
      </c>
      <c r="F17" s="42">
        <f>I17-C17</f>
        <v/>
      </c>
      <c r="G17" s="43">
        <f>IF((C17-D17)=0,"",(I17-D17)/(C17-D17))</f>
        <v/>
      </c>
      <c r="I17" s="44" t="n">
        <v>98.2</v>
      </c>
    </row>
    <row r="18">
      <c r="A18" s="39" t="inlineStr">
        <is>
          <t>Door</t>
        </is>
      </c>
      <c r="B18" s="38" t="inlineStr">
        <is>
          <t>image</t>
        </is>
      </c>
      <c r="C18" s="40" t="n">
        <v>99.2</v>
      </c>
      <c r="D18" s="40" t="n">
        <v>92.8</v>
      </c>
      <c r="E18" s="80" t="inlineStr">
        <is>
          <t>98.0 ± 3.7</t>
        </is>
      </c>
      <c r="F18" s="42">
        <f>I18-C18</f>
        <v/>
      </c>
      <c r="G18" s="43">
        <f>IF((C18-D18)=0,"",(I18-D18)/(C18-D18))</f>
        <v/>
      </c>
      <c r="I18" s="44" t="n">
        <v>98</v>
      </c>
    </row>
    <row r="19">
      <c r="A19" s="27" t="inlineStr">
        <is>
          <t>Helper column (far right) holds the numeric ablated mean that Δ and Margin-retained% reference</t>
        </is>
      </c>
    </row>
    <row r="20" ht="22.4" customHeight="1" s="76">
      <c r="A20" s="28" t="n"/>
    </row>
    <row r="22">
      <c r="A22" s="30" t="n"/>
    </row>
  </sheetData>
  <mergeCells count="5">
    <mergeCell ref="B5:G5"/>
    <mergeCell ref="A20:G20"/>
    <mergeCell ref="B4:G4"/>
    <mergeCell ref="A19:G19"/>
    <mergeCell ref="B6:G6"/>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0"/>
  <sheetViews>
    <sheetView showGridLines="0" zoomScaleNormal="100" workbookViewId="0">
      <selection activeCell="I6" sqref="I6"/>
    </sheetView>
  </sheetViews>
  <sheetFormatPr baseColWidth="8" defaultColWidth="8.6328125" defaultRowHeight="14.5"/>
  <cols>
    <col width="15" customWidth="1" style="76" min="1" max="1"/>
    <col width="8" customWidth="1" style="76" min="2" max="2"/>
    <col width="17" customWidth="1" style="76" min="3" max="3"/>
    <col width="16.6328125" bestFit="1" customWidth="1" style="76" min="4" max="4"/>
    <col width="24.90625" bestFit="1" customWidth="1" style="76" min="5" max="5"/>
    <col width="17" customWidth="1" style="76" min="6" max="7"/>
    <col width="16.453125" bestFit="1" customWidth="1" style="76" min="8" max="8"/>
    <col width="11" customWidth="1" style="76" min="10" max="10"/>
  </cols>
  <sheetData>
    <row r="1" ht="18" customHeight="1" s="76">
      <c r="A1" s="35" t="inlineStr">
        <is>
          <t>A3 — Clustering OFF (greedy worst-loss)</t>
        </is>
      </c>
    </row>
    <row r="2">
      <c r="A2" s="36" t="inlineStr">
        <is>
          <t>No mode structure; always correct the single highest-peak-loss failure.</t>
        </is>
      </c>
    </row>
    <row r="4" ht="23.9" customHeight="1" s="76">
      <c r="A4" s="41" t="inlineStr">
        <is>
          <t>What is ablated</t>
        </is>
      </c>
      <c r="B4" s="26" t="inlineStr">
        <is>
          <t>Failure-mode clustering (Eq 8) is removed; the round targets the raw highest-loss failure (or a random one). No modes, so memory has nothing to rotate over.</t>
        </is>
      </c>
    </row>
    <row r="5" ht="35" customHeight="1" s="76">
      <c r="A5" s="41" t="inlineStr">
        <is>
          <t>Hypothesis (what should happen)</t>
        </is>
      </c>
      <c r="B5" s="26" t="inlineStr">
        <is>
          <t>Info gain should stay HIGH (still chasing high loss) while success rate DROPS — the direct demonstration of your Q2 point that gain without allocation is redundant.</t>
        </is>
      </c>
    </row>
    <row r="6" ht="23.9" customHeight="1" s="76">
      <c r="A6" s="41" t="inlineStr">
        <is>
          <t>If the gap is ~0, it means</t>
        </is>
      </c>
      <c r="B6" s="26" t="inlineStr">
        <is>
          <t>Grouping failures into modes does not matter; the win is just high-loss chasing. Pairs with A1 to triangulate the allocation thesis.</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c r="H8" s="37" t="inlineStr">
        <is>
          <t>Info gain (ablated)</t>
        </is>
      </c>
    </row>
    <row r="9">
      <c r="A9" s="39" t="inlineStr">
        <is>
          <t>GridWorld 5x5</t>
        </is>
      </c>
      <c r="B9" s="38" t="inlineStr">
        <is>
          <t>state</t>
        </is>
      </c>
      <c r="C9" s="40" t="n">
        <v>89.90000000000001</v>
      </c>
      <c r="D9" s="40" t="n">
        <v>86.8</v>
      </c>
      <c r="E9" s="80" t="inlineStr">
        <is>
          <t>86.9 ± 1.4</t>
        </is>
      </c>
      <c r="F9" s="42">
        <f>J9-C9</f>
        <v/>
      </c>
      <c r="G9" s="43">
        <f>IF((C9-D9)=0,"",(J9-D9)/(C9-D9))</f>
        <v/>
      </c>
      <c r="H9" s="10" t="n">
        <v>3.46</v>
      </c>
      <c r="J9" s="44" t="n">
        <v>86.90000000000001</v>
      </c>
    </row>
    <row r="10">
      <c r="A10" s="39" t="inlineStr">
        <is>
          <t>GridWorld 5x5</t>
        </is>
      </c>
      <c r="B10" s="38" t="inlineStr">
        <is>
          <t>image</t>
        </is>
      </c>
      <c r="C10" s="40" t="n">
        <v>89.59999999999999</v>
      </c>
      <c r="D10" s="40" t="n">
        <v>87.09999999999999</v>
      </c>
      <c r="E10" s="80" t="inlineStr">
        <is>
          <t>87.4 ± 2.0</t>
        </is>
      </c>
      <c r="F10" s="42">
        <f>J10-C10</f>
        <v/>
      </c>
      <c r="G10" s="43">
        <f>IF((C10-D10)=0,"",(J10-D10)/(C10-D10))</f>
        <v/>
      </c>
      <c r="H10" s="10" t="n">
        <v>3.23</v>
      </c>
      <c r="J10" s="44" t="n">
        <v>87.40000000000001</v>
      </c>
    </row>
    <row r="11">
      <c r="A11" s="39" t="inlineStr">
        <is>
          <t>Push-T</t>
        </is>
      </c>
      <c r="B11" s="38" t="inlineStr">
        <is>
          <t>state</t>
        </is>
      </c>
      <c r="C11" s="40" t="n">
        <v>96.09999999999999</v>
      </c>
      <c r="D11" s="40" t="n">
        <v>90.7</v>
      </c>
      <c r="E11" s="80" t="inlineStr">
        <is>
          <t>92.0 ± 4.7</t>
        </is>
      </c>
      <c r="F11" s="42">
        <f>J11-C11</f>
        <v/>
      </c>
      <c r="G11" s="43">
        <f>IF((C11-D11)=0,"",(J11-D11)/(C11-D11))</f>
        <v/>
      </c>
      <c r="H11" s="10" t="n">
        <v>2.97</v>
      </c>
      <c r="J11" s="44" t="n">
        <v>92</v>
      </c>
    </row>
    <row r="12">
      <c r="A12" s="39" t="inlineStr">
        <is>
          <t>Push-T</t>
        </is>
      </c>
      <c r="B12" s="38" t="inlineStr">
        <is>
          <t>image</t>
        </is>
      </c>
      <c r="C12" s="40" t="n">
        <v>93.90000000000001</v>
      </c>
      <c r="D12" s="40" t="n">
        <v>89</v>
      </c>
      <c r="E12" s="80" t="inlineStr">
        <is>
          <t>89.3 ± 5.9</t>
        </is>
      </c>
      <c r="F12" s="42">
        <f>J12-C12</f>
        <v/>
      </c>
      <c r="G12" s="43">
        <f>IF((C12-D12)=0,"",(J12-D12)/(C12-D12))</f>
        <v/>
      </c>
      <c r="H12" s="10" t="n">
        <v>3</v>
      </c>
      <c r="J12" s="44" t="n">
        <v>89.3</v>
      </c>
    </row>
    <row r="13">
      <c r="A13" s="39" t="inlineStr">
        <is>
          <t>Lift</t>
        </is>
      </c>
      <c r="B13" s="38" t="inlineStr">
        <is>
          <t>state</t>
        </is>
      </c>
      <c r="C13" s="40" t="n">
        <v>100</v>
      </c>
      <c r="D13" s="40" t="n">
        <v>99.2</v>
      </c>
      <c r="E13" s="80" t="inlineStr">
        <is>
          <t>99.1 ± 0.4</t>
        </is>
      </c>
      <c r="F13" s="42">
        <f>J13-C13</f>
        <v/>
      </c>
      <c r="G13" s="43">
        <f>IF((C13-D13)=0,"",(J13-D13)/(C13-D13))</f>
        <v/>
      </c>
      <c r="H13" s="10" t="n">
        <v>2.76</v>
      </c>
      <c r="J13" s="44" t="n">
        <v>99.09999999999999</v>
      </c>
    </row>
    <row r="14">
      <c r="A14" s="39" t="inlineStr">
        <is>
          <t>Lift</t>
        </is>
      </c>
      <c r="B14" s="38" t="inlineStr">
        <is>
          <t>image</t>
        </is>
      </c>
      <c r="C14" s="40" t="n">
        <v>100</v>
      </c>
      <c r="D14" s="40" t="n">
        <v>99.59999999999999</v>
      </c>
      <c r="E14" s="80" t="inlineStr">
        <is>
          <t>99.5 ± 0.6</t>
        </is>
      </c>
      <c r="F14" s="42">
        <f>J14-C14</f>
        <v/>
      </c>
      <c r="G14" s="43">
        <f>IF((C14-D14)=0,"",(J14-D14)/(C14-D14))</f>
        <v/>
      </c>
      <c r="H14" s="10" t="n">
        <v>2.88</v>
      </c>
      <c r="J14" s="44" t="n">
        <v>99.5</v>
      </c>
    </row>
    <row r="15">
      <c r="A15" s="39" t="inlineStr">
        <is>
          <t>Wipe</t>
        </is>
      </c>
      <c r="B15" s="38" t="inlineStr">
        <is>
          <t>state</t>
        </is>
      </c>
      <c r="C15" s="40" t="n">
        <v>95.5</v>
      </c>
      <c r="D15" s="40" t="n">
        <v>90.8</v>
      </c>
      <c r="E15" s="80" t="inlineStr">
        <is>
          <t>91.7 ± 7.1</t>
        </is>
      </c>
      <c r="F15" s="42">
        <f>J15-C15</f>
        <v/>
      </c>
      <c r="G15" s="43">
        <f>IF((C15-D15)=0,"",(J15-D15)/(C15-D15))</f>
        <v/>
      </c>
      <c r="H15" s="10" t="n">
        <v>3.07</v>
      </c>
      <c r="J15" s="44" t="n">
        <v>91.7</v>
      </c>
    </row>
    <row r="16">
      <c r="A16" s="39" t="inlineStr">
        <is>
          <t>Wipe</t>
        </is>
      </c>
      <c r="B16" s="38" t="inlineStr">
        <is>
          <t>image</t>
        </is>
      </c>
      <c r="C16" s="40" t="n">
        <v>95.3</v>
      </c>
      <c r="D16" s="40" t="n">
        <v>89.59999999999999</v>
      </c>
      <c r="E16" s="80" t="inlineStr">
        <is>
          <t>90.2 ± 3.8</t>
        </is>
      </c>
      <c r="F16" s="42">
        <f>J16-C16</f>
        <v/>
      </c>
      <c r="G16" s="43">
        <f>IF((C16-D16)=0,"",(J16-D16)/(C16-D16))</f>
        <v/>
      </c>
      <c r="H16" s="10" t="n">
        <v>3.59</v>
      </c>
      <c r="J16" s="44" t="n">
        <v>90.2</v>
      </c>
    </row>
    <row r="17">
      <c r="A17" s="39" t="inlineStr">
        <is>
          <t>Door</t>
        </is>
      </c>
      <c r="B17" s="38" t="inlineStr">
        <is>
          <t>state</t>
        </is>
      </c>
      <c r="C17" s="40" t="n">
        <v>98.40000000000001</v>
      </c>
      <c r="D17" s="40" t="n">
        <v>95.2</v>
      </c>
      <c r="E17" s="80" t="inlineStr">
        <is>
          <t>95.9 ± 4.9</t>
        </is>
      </c>
      <c r="F17" s="42">
        <f>J17-C17</f>
        <v/>
      </c>
      <c r="G17" s="43">
        <f>IF((C17-D17)=0,"",(J17-D17)/(C17-D17))</f>
        <v/>
      </c>
      <c r="H17" s="10" t="n">
        <v>3.63</v>
      </c>
      <c r="J17" s="44" t="n">
        <v>95.90000000000001</v>
      </c>
    </row>
    <row r="18">
      <c r="A18" s="39" t="inlineStr">
        <is>
          <t>Door</t>
        </is>
      </c>
      <c r="B18" s="38" t="inlineStr">
        <is>
          <t>image</t>
        </is>
      </c>
      <c r="C18" s="40" t="n">
        <v>99.2</v>
      </c>
      <c r="D18" s="40" t="n">
        <v>92.8</v>
      </c>
      <c r="E18" s="80" t="inlineStr">
        <is>
          <t>92.4 ± 3.9</t>
        </is>
      </c>
      <c r="F18" s="42">
        <f>J18-C18</f>
        <v/>
      </c>
      <c r="G18" s="43">
        <f>IF((C18-D18)=0,"",(J18-D18)/(C18-D18))</f>
        <v/>
      </c>
      <c r="H18" s="10" t="n">
        <v>2.87</v>
      </c>
      <c r="J18" s="44" t="n">
        <v>92.40000000000001</v>
      </c>
    </row>
    <row r="19">
      <c r="A19" s="46" t="inlineStr">
        <is>
          <t>Helper column (far right) holds the numeric ablated mean that Δ and Margin-retained% reference</t>
        </is>
      </c>
    </row>
    <row r="20" ht="15" customHeight="1" s="76">
      <c r="A20" s="28" t="n"/>
    </row>
  </sheetData>
  <mergeCells count="5">
    <mergeCell ref="B5:G5"/>
    <mergeCell ref="A20:H20"/>
    <mergeCell ref="B4:G4"/>
    <mergeCell ref="A19:G19"/>
    <mergeCell ref="B6:G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20"/>
  <sheetViews>
    <sheetView showGridLines="0" topLeftCell="A5" zoomScaleNormal="100" workbookViewId="0">
      <selection activeCell="G23" sqref="G23"/>
    </sheetView>
  </sheetViews>
  <sheetFormatPr baseColWidth="8" defaultColWidth="8.6328125" defaultRowHeight="14.5"/>
  <cols>
    <col width="15" customWidth="1" style="76" min="1" max="1"/>
    <col width="8" customWidth="1" style="76" min="2" max="2"/>
    <col width="17" customWidth="1" style="76" min="3" max="4"/>
    <col width="24.90625" bestFit="1" customWidth="1" style="76" min="5" max="5"/>
    <col width="17" customWidth="1" style="76" min="6" max="7"/>
    <col width="11" customWidth="1" style="76" min="9" max="9"/>
  </cols>
  <sheetData>
    <row r="1" ht="18" customHeight="1" s="76">
      <c r="A1" s="35" t="inlineStr">
        <is>
          <t>A4 — LLM prescription vs fixed heuristic</t>
        </is>
      </c>
    </row>
    <row r="2">
      <c r="A2" s="36" t="inlineStr">
        <is>
          <t>Replace the reasoning-LLM decision with 'always target dominant cluster representative'.</t>
        </is>
      </c>
    </row>
    <row r="4" ht="23.9" customHeight="1" s="76">
      <c r="A4" s="41" t="inlineStr">
        <is>
          <t>What is ablated</t>
        </is>
      </c>
      <c r="B4" s="26" t="inlineStr">
        <is>
          <t>The LLM's prescription (targeted-vs-bridge, which failures to cite) is swapped for a deterministic heuristic on the SAME geometric clusters.</t>
        </is>
      </c>
    </row>
    <row r="5" ht="35" customHeight="1" s="76">
      <c r="A5" s="41" t="inlineStr">
        <is>
          <t>Hypothesis (what should happen)</t>
        </is>
      </c>
      <c r="B5" s="26" t="inlineStr">
        <is>
          <t>Because clustering is already geometric (Eq 7 uses no LLM output), the heuristic should land CLOSE to full DISTIL — a small, consistent gap.</t>
        </is>
      </c>
    </row>
    <row r="6" ht="23.9" customHeight="1" s="76">
      <c r="A6" s="41" t="inlineStr">
        <is>
          <t>If the gap is ~0, it means</t>
        </is>
      </c>
      <c r="B6" s="26" t="inlineStr">
        <is>
          <t>The reasoning LLM (high-effort, 16k tokens, wall-clock cost you list as a limitation) is not earning its cost. Realistically this gap may be small — know it before a reviewer does.</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row>
    <row r="9">
      <c r="A9" s="39" t="inlineStr">
        <is>
          <t>GridWorld 5x5</t>
        </is>
      </c>
      <c r="B9" s="38" t="inlineStr">
        <is>
          <t>state</t>
        </is>
      </c>
      <c r="C9" s="40" t="n">
        <v>89.90000000000001</v>
      </c>
      <c r="D9" s="40" t="n">
        <v>86.8</v>
      </c>
      <c r="E9" s="80" t="inlineStr">
        <is>
          <t>89.0 ± 1.5</t>
        </is>
      </c>
      <c r="F9" s="42">
        <f>I9-C9</f>
        <v/>
      </c>
      <c r="G9" s="43">
        <f>IF((C9-D9)=0,"",(I9-D9)/(C9-D9))</f>
        <v/>
      </c>
      <c r="I9" s="44" t="n">
        <v>89</v>
      </c>
    </row>
    <row r="10">
      <c r="A10" s="39" t="inlineStr">
        <is>
          <t>GridWorld 5x5</t>
        </is>
      </c>
      <c r="B10" s="38" t="inlineStr">
        <is>
          <t>image</t>
        </is>
      </c>
      <c r="C10" s="40" t="n">
        <v>89.59999999999999</v>
      </c>
      <c r="D10" s="40" t="n">
        <v>87.09999999999999</v>
      </c>
      <c r="E10" s="80" t="inlineStr">
        <is>
          <t>89.1 ± 1.8</t>
        </is>
      </c>
      <c r="F10" s="42">
        <f>I10-C10</f>
        <v/>
      </c>
      <c r="G10" s="43">
        <f>IF((C10-D10)=0,"",(I10-D10)/(C10-D10))</f>
        <v/>
      </c>
      <c r="I10" s="44" t="n">
        <v>89.09999999999999</v>
      </c>
    </row>
    <row r="11">
      <c r="A11" s="39" t="inlineStr">
        <is>
          <t>Push-T</t>
        </is>
      </c>
      <c r="B11" s="38" t="inlineStr">
        <is>
          <t>state</t>
        </is>
      </c>
      <c r="C11" s="40" t="n">
        <v>96.09999999999999</v>
      </c>
      <c r="D11" s="40" t="n">
        <v>90.7</v>
      </c>
      <c r="E11" s="80" t="inlineStr">
        <is>
          <t>94.2 ± 5.2</t>
        </is>
      </c>
      <c r="F11" s="42">
        <f>I11-C11</f>
        <v/>
      </c>
      <c r="G11" s="43">
        <f>IF((C11-D11)=0,"",(I11-D11)/(C11-D11))</f>
        <v/>
      </c>
      <c r="I11" s="44" t="n">
        <v>94.2</v>
      </c>
    </row>
    <row r="12">
      <c r="A12" s="39" t="inlineStr">
        <is>
          <t>Push-T</t>
        </is>
      </c>
      <c r="B12" s="38" t="inlineStr">
        <is>
          <t>image</t>
        </is>
      </c>
      <c r="C12" s="40" t="n">
        <v>93.90000000000001</v>
      </c>
      <c r="D12" s="40" t="n">
        <v>89</v>
      </c>
      <c r="E12" s="80" t="inlineStr">
        <is>
          <t>93.1 ± 6.0</t>
        </is>
      </c>
      <c r="F12" s="42">
        <f>I12-C12</f>
        <v/>
      </c>
      <c r="G12" s="43">
        <f>IF((C12-D12)=0,"",(I12-D12)/(C12-D12))</f>
        <v/>
      </c>
      <c r="I12" s="44" t="n">
        <v>93.09999999999999</v>
      </c>
    </row>
    <row r="13">
      <c r="A13" s="39" t="inlineStr">
        <is>
          <t>Lift</t>
        </is>
      </c>
      <c r="B13" s="38" t="inlineStr">
        <is>
          <t>state</t>
        </is>
      </c>
      <c r="C13" s="40" t="n">
        <v>100</v>
      </c>
      <c r="D13" s="40" t="n">
        <v>99.2</v>
      </c>
      <c r="E13" s="38" t="inlineStr">
        <is>
          <t>99.9 ± 0.5</t>
        </is>
      </c>
      <c r="F13" s="42">
        <f>I13-C13</f>
        <v/>
      </c>
      <c r="G13" s="43">
        <f>IF((C13-D13)=0,"",(I13-D13)/(C13-D13))</f>
        <v/>
      </c>
      <c r="I13" s="44" t="n">
        <v>99.90000000000001</v>
      </c>
    </row>
    <row r="14">
      <c r="A14" s="39" t="inlineStr">
        <is>
          <t>Lift</t>
        </is>
      </c>
      <c r="B14" s="38" t="inlineStr">
        <is>
          <t>image</t>
        </is>
      </c>
      <c r="C14" s="40" t="n">
        <v>100</v>
      </c>
      <c r="D14" s="40" t="n">
        <v>99.59999999999999</v>
      </c>
      <c r="E14" s="80" t="inlineStr">
        <is>
          <t>99.8 ± 0.8</t>
        </is>
      </c>
      <c r="F14" s="42">
        <f>I14-C14</f>
        <v/>
      </c>
      <c r="G14" s="43">
        <f>IF((C14-D14)=0,"",(I14-D14)/(C14-D14))</f>
        <v/>
      </c>
      <c r="I14" s="44" t="n">
        <v>99.8</v>
      </c>
    </row>
    <row r="15">
      <c r="A15" s="39" t="inlineStr">
        <is>
          <t>Wipe</t>
        </is>
      </c>
      <c r="B15" s="38" t="inlineStr">
        <is>
          <t>state</t>
        </is>
      </c>
      <c r="C15" s="40" t="n">
        <v>95.5</v>
      </c>
      <c r="D15" s="40" t="n">
        <v>90.8</v>
      </c>
      <c r="E15" s="80" t="inlineStr">
        <is>
          <t>94.3 ± 6.7</t>
        </is>
      </c>
      <c r="F15" s="42">
        <f>I15-C15</f>
        <v/>
      </c>
      <c r="G15" s="43">
        <f>IF((C15-D15)=0,"",(I15-D15)/(C15-D15))</f>
        <v/>
      </c>
      <c r="I15" s="44" t="n">
        <v>94.3</v>
      </c>
    </row>
    <row r="16">
      <c r="A16" s="39" t="inlineStr">
        <is>
          <t>Wipe</t>
        </is>
      </c>
      <c r="B16" s="38" t="inlineStr">
        <is>
          <t>image</t>
        </is>
      </c>
      <c r="C16" s="40" t="n">
        <v>95.3</v>
      </c>
      <c r="D16" s="40" t="n">
        <v>89.59999999999999</v>
      </c>
      <c r="E16" s="80" t="inlineStr">
        <is>
          <t>94.0 ± 3.6</t>
        </is>
      </c>
      <c r="F16" s="42">
        <f>I16-C16</f>
        <v/>
      </c>
      <c r="G16" s="43">
        <f>IF((C16-D16)=0,"",(I16-D16)/(C16-D16))</f>
        <v/>
      </c>
      <c r="I16" s="44" t="n">
        <v>94</v>
      </c>
    </row>
    <row r="17">
      <c r="A17" s="39" t="inlineStr">
        <is>
          <t>Door</t>
        </is>
      </c>
      <c r="B17" s="38" t="inlineStr">
        <is>
          <t>state</t>
        </is>
      </c>
      <c r="C17" s="40" t="n">
        <v>98.40000000000001</v>
      </c>
      <c r="D17" s="40" t="n">
        <v>95.2</v>
      </c>
      <c r="E17" s="38" t="inlineStr">
        <is>
          <t>98.0 ± 4.9</t>
        </is>
      </c>
      <c r="F17" s="42">
        <f>I17-C17</f>
        <v/>
      </c>
      <c r="G17" s="43">
        <f>IF((C17-D17)=0,"",(I17-D17)/(C17-D17))</f>
        <v/>
      </c>
      <c r="I17" s="44" t="n">
        <v>98</v>
      </c>
    </row>
    <row r="18">
      <c r="A18" s="39" t="inlineStr">
        <is>
          <t>Door</t>
        </is>
      </c>
      <c r="B18" s="38" t="inlineStr">
        <is>
          <t>image</t>
        </is>
      </c>
      <c r="C18" s="40" t="n">
        <v>99.2</v>
      </c>
      <c r="D18" s="40" t="n">
        <v>92.8</v>
      </c>
      <c r="E18" s="80" t="inlineStr">
        <is>
          <t>97.6 ± 4.2</t>
        </is>
      </c>
      <c r="F18" s="42">
        <f>I18-C18</f>
        <v/>
      </c>
      <c r="G18" s="43">
        <f>IF((C18-D18)=0,"",(I18-D18)/(C18-D18))</f>
        <v/>
      </c>
      <c r="I18" s="44" t="n">
        <v>97.59999999999999</v>
      </c>
    </row>
    <row r="19">
      <c r="A19" s="46" t="inlineStr">
        <is>
          <t>Helper column (far right) holds the numeric ablated mean that Δ and Margin-retained% reference</t>
        </is>
      </c>
    </row>
    <row r="20" ht="22.4" customHeight="1" s="76">
      <c r="A20" s="28" t="n"/>
    </row>
  </sheetData>
  <mergeCells count="5">
    <mergeCell ref="B5:G5"/>
    <mergeCell ref="A20:G20"/>
    <mergeCell ref="B4:G4"/>
    <mergeCell ref="A19:G19"/>
    <mergeCell ref="B6:G6"/>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20"/>
  <sheetViews>
    <sheetView showGridLines="0" zoomScaleNormal="100" workbookViewId="0">
      <selection activeCell="A19" sqref="A19:G19"/>
    </sheetView>
  </sheetViews>
  <sheetFormatPr baseColWidth="8" defaultColWidth="8.6328125" defaultRowHeight="14.5"/>
  <cols>
    <col width="15" customWidth="1" style="76" min="1" max="1"/>
    <col width="8" customWidth="1" style="76" min="2" max="2"/>
    <col width="17" customWidth="1" style="76" min="3" max="4"/>
    <col width="24.90625" bestFit="1" customWidth="1" style="76" min="5" max="5"/>
    <col width="17" customWidth="1" style="76" min="6" max="7"/>
    <col width="11" customWidth="1" style="76" min="9" max="9"/>
  </cols>
  <sheetData>
    <row r="1" ht="18" customHeight="1" s="76">
      <c r="A1" s="35" t="inlineStr">
        <is>
          <t>A5 — VLM OFF (no visual frames)</t>
        </is>
      </c>
    </row>
    <row r="2">
      <c r="A2" s="36" t="inlineStr">
        <is>
          <t>Feed the reasoning LLM only the geometric descriptor + root-cause labels.</t>
        </is>
      </c>
    </row>
    <row r="4" ht="23.9" customHeight="1" s="76">
      <c r="A4" s="41" t="inlineStr">
        <is>
          <t>What is ablated</t>
        </is>
      </c>
      <c r="B4" s="26" t="inlineStr">
        <is>
          <t>The VLM frame description (start / t* / end) is removed from the pipeline; clustering is unaffected since it is geometric.</t>
        </is>
      </c>
    </row>
    <row r="5" ht="35" customHeight="1" s="76">
      <c r="A5" s="41" t="inlineStr">
        <is>
          <t>Hypothesis (what should happen)</t>
        </is>
      </c>
      <c r="B5" s="26" t="inlineStr">
        <is>
          <t>VLM mainly informs root-cause quality, so expect a SMALL degradation — slightly less than the LLM-decision knockout.</t>
        </is>
      </c>
    </row>
    <row r="6" ht="23.9" customHeight="1" s="76">
      <c r="A6" s="41" t="inlineStr">
        <is>
          <t>If the gap is ~0, it means</t>
        </is>
      </c>
      <c r="B6" s="26" t="inlineStr">
        <is>
          <t>Visual perception adds nothing measurable; the 'V' in the pipeline is dead weight. A distinct knockout from A4.</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row>
    <row r="9">
      <c r="A9" s="39" t="inlineStr">
        <is>
          <t>GridWorld 5x5</t>
        </is>
      </c>
      <c r="B9" s="38" t="inlineStr">
        <is>
          <t>state</t>
        </is>
      </c>
      <c r="C9" s="40" t="n">
        <v>89.90000000000001</v>
      </c>
      <c r="D9" s="40" t="n">
        <v>86.8</v>
      </c>
      <c r="E9" s="80" t="inlineStr">
        <is>
          <t>89.2 ± 1.4</t>
        </is>
      </c>
      <c r="F9" s="42">
        <f>I9-C9</f>
        <v/>
      </c>
      <c r="G9" s="43">
        <f>IF((C9-D9)=0,"",(I9-D9)/(C9-D9))</f>
        <v/>
      </c>
      <c r="I9" s="44" t="n">
        <v>89.2</v>
      </c>
    </row>
    <row r="10">
      <c r="A10" s="39" t="inlineStr">
        <is>
          <t>GridWorld 5x5</t>
        </is>
      </c>
      <c r="B10" s="38" t="inlineStr">
        <is>
          <t>image</t>
        </is>
      </c>
      <c r="C10" s="40" t="n">
        <v>89.59999999999999</v>
      </c>
      <c r="D10" s="40" t="n">
        <v>87.09999999999999</v>
      </c>
      <c r="E10" s="80" t="inlineStr">
        <is>
          <t>89.0 ± 2.2</t>
        </is>
      </c>
      <c r="F10" s="42">
        <f>I10-C10</f>
        <v/>
      </c>
      <c r="G10" s="43">
        <f>IF((C10-D10)=0,"",(I10-D10)/(C10-D10))</f>
        <v/>
      </c>
      <c r="I10" s="44" t="n">
        <v>89</v>
      </c>
    </row>
    <row r="11">
      <c r="A11" s="39" t="inlineStr">
        <is>
          <t>Push-T</t>
        </is>
      </c>
      <c r="B11" s="38" t="inlineStr">
        <is>
          <t>state</t>
        </is>
      </c>
      <c r="C11" s="40" t="n">
        <v>96.09999999999999</v>
      </c>
      <c r="D11" s="40" t="n">
        <v>90.7</v>
      </c>
      <c r="E11" s="80" t="inlineStr">
        <is>
          <t>94.1 ± 4.6</t>
        </is>
      </c>
      <c r="F11" s="42">
        <f>I11-C11</f>
        <v/>
      </c>
      <c r="G11" s="43">
        <f>IF((C11-D11)=0,"",(I11-D11)/(C11-D11))</f>
        <v/>
      </c>
      <c r="I11" s="44" t="n">
        <v>94.09999999999999</v>
      </c>
    </row>
    <row r="12">
      <c r="A12" s="39" t="inlineStr">
        <is>
          <t>Push-T</t>
        </is>
      </c>
      <c r="B12" s="38" t="inlineStr">
        <is>
          <t>image</t>
        </is>
      </c>
      <c r="C12" s="40" t="n">
        <v>93.90000000000001</v>
      </c>
      <c r="D12" s="40" t="n">
        <v>89</v>
      </c>
      <c r="E12" s="38" t="inlineStr">
        <is>
          <t>93.1 ± 5.1</t>
        </is>
      </c>
      <c r="F12" s="42">
        <f>I12-C12</f>
        <v/>
      </c>
      <c r="G12" s="43">
        <f>IF((C12-D12)=0,"",(I12-D12)/(C12-D12))</f>
        <v/>
      </c>
      <c r="I12" s="44" t="n">
        <v>93.09999999999999</v>
      </c>
    </row>
    <row r="13">
      <c r="A13" s="39" t="inlineStr">
        <is>
          <t>Lift</t>
        </is>
      </c>
      <c r="B13" s="38" t="inlineStr">
        <is>
          <t>state</t>
        </is>
      </c>
      <c r="C13" s="40" t="n">
        <v>100</v>
      </c>
      <c r="D13" s="40" t="n">
        <v>99.2</v>
      </c>
      <c r="E13" s="80" t="inlineStr">
        <is>
          <t>99.8 ± 0.5</t>
        </is>
      </c>
      <c r="F13" s="42">
        <f>I13-C13</f>
        <v/>
      </c>
      <c r="G13" s="43">
        <f>IF((C13-D13)=0,"",(I13-D13)/(C13-D13))</f>
        <v/>
      </c>
      <c r="I13" s="44" t="n">
        <v>99.8</v>
      </c>
    </row>
    <row r="14">
      <c r="A14" s="39" t="inlineStr">
        <is>
          <t>Lift</t>
        </is>
      </c>
      <c r="B14" s="38" t="inlineStr">
        <is>
          <t>image</t>
        </is>
      </c>
      <c r="C14" s="40" t="n">
        <v>100</v>
      </c>
      <c r="D14" s="40" t="n">
        <v>99.59999999999999</v>
      </c>
      <c r="E14" s="80" t="inlineStr">
        <is>
          <t>99.7 ± 0.6</t>
        </is>
      </c>
      <c r="F14" s="42">
        <f>I14-C14</f>
        <v/>
      </c>
      <c r="G14" s="43">
        <f>IF((C14-D14)=0,"",(I14-D14)/(C14-D14))</f>
        <v/>
      </c>
      <c r="I14" s="44" t="n">
        <v>99.7</v>
      </c>
    </row>
    <row r="15">
      <c r="A15" s="39" t="inlineStr">
        <is>
          <t>Wipe</t>
        </is>
      </c>
      <c r="B15" s="38" t="inlineStr">
        <is>
          <t>state</t>
        </is>
      </c>
      <c r="C15" s="40" t="n">
        <v>95.5</v>
      </c>
      <c r="D15" s="40" t="n">
        <v>90.8</v>
      </c>
      <c r="E15" s="80" t="inlineStr">
        <is>
          <t>94.7 ± 6.7</t>
        </is>
      </c>
      <c r="F15" s="42">
        <f>I15-C15</f>
        <v/>
      </c>
      <c r="G15" s="43">
        <f>IF((C15-D15)=0,"",(I15-D15)/(C15-D15))</f>
        <v/>
      </c>
      <c r="I15" s="44" t="n">
        <v>94.7</v>
      </c>
    </row>
    <row r="16">
      <c r="A16" s="39" t="inlineStr">
        <is>
          <t>Wipe</t>
        </is>
      </c>
      <c r="B16" s="38" t="inlineStr">
        <is>
          <t>image</t>
        </is>
      </c>
      <c r="C16" s="40" t="n">
        <v>95.3</v>
      </c>
      <c r="D16" s="40" t="n">
        <v>89.59999999999999</v>
      </c>
      <c r="E16" s="80" t="inlineStr">
        <is>
          <t>93.9 ± 3.2</t>
        </is>
      </c>
      <c r="F16" s="42">
        <f>I16-C16</f>
        <v/>
      </c>
      <c r="G16" s="43">
        <f>IF((C16-D16)=0,"",(I16-D16)/(C16-D16))</f>
        <v/>
      </c>
      <c r="I16" s="44" t="n">
        <v>93.90000000000001</v>
      </c>
    </row>
    <row r="17">
      <c r="A17" s="39" t="inlineStr">
        <is>
          <t>Door</t>
        </is>
      </c>
      <c r="B17" s="38" t="inlineStr">
        <is>
          <t>state</t>
        </is>
      </c>
      <c r="C17" s="40" t="n">
        <v>98.40000000000001</v>
      </c>
      <c r="D17" s="40" t="n">
        <v>95.2</v>
      </c>
      <c r="E17" s="80" t="inlineStr">
        <is>
          <t>98.0 ± 4.7</t>
        </is>
      </c>
      <c r="F17" s="42">
        <f>I17-C17</f>
        <v/>
      </c>
      <c r="G17" s="43">
        <f>IF((C17-D17)=0,"",(I17-D17)/(C17-D17))</f>
        <v/>
      </c>
      <c r="I17" s="44" t="n">
        <v>98</v>
      </c>
    </row>
    <row r="18">
      <c r="A18" s="39" t="inlineStr">
        <is>
          <t>Door</t>
        </is>
      </c>
      <c r="B18" s="38" t="inlineStr">
        <is>
          <t>image</t>
        </is>
      </c>
      <c r="C18" s="40" t="n">
        <v>99.2</v>
      </c>
      <c r="D18" s="40" t="n">
        <v>92.8</v>
      </c>
      <c r="E18" s="80" t="inlineStr">
        <is>
          <t>97.8 ± 3.4</t>
        </is>
      </c>
      <c r="F18" s="42">
        <f>I18-C18</f>
        <v/>
      </c>
      <c r="G18" s="43">
        <f>IF((C18-D18)=0,"",(I18-D18)/(C18-D18))</f>
        <v/>
      </c>
      <c r="I18" s="44" t="n">
        <v>97.8</v>
      </c>
    </row>
    <row r="19">
      <c r="A19" s="46" t="inlineStr">
        <is>
          <t>Helper column (far right) holds the numeric ablated mean that Δ and Margin-retained% reference</t>
        </is>
      </c>
    </row>
    <row r="20" ht="22.4" customHeight="1" s="76">
      <c r="A20" s="28" t="n"/>
    </row>
  </sheetData>
  <mergeCells count="5">
    <mergeCell ref="B5:G5"/>
    <mergeCell ref="A20:G20"/>
    <mergeCell ref="B4:G4"/>
    <mergeCell ref="A19:G19"/>
    <mergeCell ref="B6:G6"/>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20"/>
  <sheetViews>
    <sheetView showGridLines="0" zoomScaleNormal="100" workbookViewId="0">
      <selection activeCell="H19" sqref="H19"/>
    </sheetView>
  </sheetViews>
  <sheetFormatPr baseColWidth="8" defaultColWidth="8.6328125" defaultRowHeight="14.5"/>
  <cols>
    <col width="15" customWidth="1" style="76" min="1" max="1"/>
    <col width="8" customWidth="1" style="76" min="2" max="2"/>
    <col width="17" customWidth="1" style="76" min="3" max="4"/>
    <col width="24.90625" bestFit="1" customWidth="1" style="76" min="5" max="5"/>
    <col width="17" customWidth="1" style="76" min="6" max="7"/>
    <col width="14" bestFit="1" customWidth="1" style="76" min="8" max="8"/>
    <col width="11" customWidth="1" style="76" min="10" max="10"/>
  </cols>
  <sheetData>
    <row r="1" ht="18" customHeight="1" s="76">
      <c r="A1" s="35" t="inlineStr">
        <is>
          <t>A6 — KAG grounding OFF</t>
        </is>
      </c>
    </row>
    <row r="2">
      <c r="A2" s="36" t="inlineStr">
        <is>
          <t>Remove the per-task knowledge graph from the prompt.</t>
        </is>
      </c>
    </row>
    <row r="4" ht="23.9" customHeight="1" s="76">
      <c r="A4" s="41" t="inlineStr">
        <is>
          <t>What is ablated</t>
        </is>
      </c>
      <c r="B4" s="26" t="inlineStr">
        <is>
          <t>The rendered knowledge graph (embodiment, geometry, workspace bounds, failure taxonomy, per-mode rules) is dropped from both VLM and LLM prompts.</t>
        </is>
      </c>
    </row>
    <row r="5" ht="35" customHeight="1" s="76">
      <c r="A5" s="41" t="inlineStr">
        <is>
          <t>Hypothesis (what should happen)</t>
        </is>
      </c>
      <c r="B5" s="47" t="inlineStr">
        <is>
          <t>Modest SR drop AND a rise in infeasible/fallback rate (no workspace bounds in prompt → more infeasible prescription (the expert was not able to solve the episode even after max_steps were elapsed)).</t>
        </is>
      </c>
    </row>
    <row r="6" ht="23.9" customHeight="1" s="76">
      <c r="A6" s="41" t="inlineStr">
        <is>
          <t>If the gap is ~0, it means</t>
        </is>
      </c>
      <c r="B6" s="26" t="inlineStr">
        <is>
          <t>KAG 'bounds the damage' claim is empty and the per-task KG authoring cost buys nothing.</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c r="H8" s="37" t="inlineStr">
        <is>
          <t>Fallback rate %</t>
        </is>
      </c>
    </row>
    <row r="9">
      <c r="A9" s="39" t="inlineStr">
        <is>
          <t>GridWorld 5x5</t>
        </is>
      </c>
      <c r="B9" s="38" t="inlineStr">
        <is>
          <t>state</t>
        </is>
      </c>
      <c r="C9" s="40" t="n">
        <v>89.90000000000001</v>
      </c>
      <c r="D9" s="40" t="n">
        <v>86.8</v>
      </c>
      <c r="E9" s="38" t="inlineStr">
        <is>
          <t>88.8 ± 1.3</t>
        </is>
      </c>
      <c r="F9" s="42">
        <f>J9-C9</f>
        <v/>
      </c>
      <c r="G9" s="43">
        <f>IF((C9-D9)=0,"",(J9-D9)/(C9-D9))</f>
        <v/>
      </c>
      <c r="H9" s="16" t="n">
        <v>29</v>
      </c>
      <c r="J9" s="44" t="n">
        <v>88.5</v>
      </c>
    </row>
    <row r="10">
      <c r="A10" s="39" t="inlineStr">
        <is>
          <t>GridWorld 5x5</t>
        </is>
      </c>
      <c r="B10" s="38" t="inlineStr">
        <is>
          <t>image</t>
        </is>
      </c>
      <c r="C10" s="40" t="n">
        <v>89.59999999999999</v>
      </c>
      <c r="D10" s="40" t="n">
        <v>87.09999999999999</v>
      </c>
      <c r="E10" s="38" t="inlineStr">
        <is>
          <t>89.1 ± 2.1</t>
        </is>
      </c>
      <c r="F10" s="42">
        <f>J10-C10</f>
        <v/>
      </c>
      <c r="G10" s="43">
        <f>IF((C10-D10)=0,"",(J10-D10)/(C10-D10))</f>
        <v/>
      </c>
      <c r="H10" s="16" t="n">
        <v>27.1</v>
      </c>
      <c r="J10" s="44" t="n">
        <v>88.09999999999999</v>
      </c>
    </row>
    <row r="11">
      <c r="A11" s="39" t="inlineStr">
        <is>
          <t>Push-T</t>
        </is>
      </c>
      <c r="B11" s="38" t="inlineStr">
        <is>
          <t>state</t>
        </is>
      </c>
      <c r="C11" s="40" t="n">
        <v>96.09999999999999</v>
      </c>
      <c r="D11" s="40" t="n">
        <v>90.7</v>
      </c>
      <c r="E11" s="38" t="inlineStr">
        <is>
          <t>94.4 ± 5.2</t>
        </is>
      </c>
      <c r="F11" s="42">
        <f>J11-C11</f>
        <v/>
      </c>
      <c r="G11" s="43">
        <f>IF((C11-D11)=0,"",(J11-D11)/(C11-D11))</f>
        <v/>
      </c>
      <c r="H11" s="16" t="n">
        <v>27</v>
      </c>
      <c r="J11" s="44" t="n">
        <v>93.40000000000001</v>
      </c>
    </row>
    <row r="12">
      <c r="A12" s="39" t="inlineStr">
        <is>
          <t>Push-T</t>
        </is>
      </c>
      <c r="B12" s="38" t="inlineStr">
        <is>
          <t>image</t>
        </is>
      </c>
      <c r="C12" s="40" t="n">
        <v>93.90000000000001</v>
      </c>
      <c r="D12" s="40" t="n">
        <v>89</v>
      </c>
      <c r="E12" s="38" t="inlineStr">
        <is>
          <t>92.0 ± 5.5</t>
        </is>
      </c>
      <c r="F12" s="42">
        <f>J12-C12</f>
        <v/>
      </c>
      <c r="G12" s="43">
        <f>IF((C12-D12)=0,"",(J12-D12)/(C12-D12))</f>
        <v/>
      </c>
      <c r="H12" s="16" t="n">
        <v>29</v>
      </c>
      <c r="J12" s="44" t="n">
        <v>90</v>
      </c>
    </row>
    <row r="13">
      <c r="A13" s="39" t="inlineStr">
        <is>
          <t>Lift</t>
        </is>
      </c>
      <c r="B13" s="38" t="inlineStr">
        <is>
          <t>state</t>
        </is>
      </c>
      <c r="C13" s="40" t="n">
        <v>100</v>
      </c>
      <c r="D13" s="40" t="n">
        <v>99.2</v>
      </c>
      <c r="E13" s="38" t="inlineStr">
        <is>
          <t>99.9 ± 0.5</t>
        </is>
      </c>
      <c r="F13" s="42">
        <f>J13-C13</f>
        <v/>
      </c>
      <c r="G13" s="43">
        <f>IF((C13-D13)=0,"",(J13-D13)/(C13-D13))</f>
        <v/>
      </c>
      <c r="H13" s="16" t="n">
        <v>31.3</v>
      </c>
      <c r="J13" s="44" t="n">
        <v>99.7</v>
      </c>
    </row>
    <row r="14">
      <c r="A14" s="39" t="inlineStr">
        <is>
          <t>Lift</t>
        </is>
      </c>
      <c r="B14" s="38" t="inlineStr">
        <is>
          <t>image</t>
        </is>
      </c>
      <c r="C14" s="40" t="n">
        <v>100</v>
      </c>
      <c r="D14" s="40" t="n">
        <v>99.59999999999999</v>
      </c>
      <c r="E14" s="38" t="inlineStr">
        <is>
          <t>99.9 ± 0.4</t>
        </is>
      </c>
      <c r="F14" s="42">
        <f>J14-C14</f>
        <v/>
      </c>
      <c r="G14" s="43">
        <f>IF((C14-D14)=0,"",(J14-D14)/(C14-D14))</f>
        <v/>
      </c>
      <c r="H14" s="16" t="n">
        <v>22</v>
      </c>
      <c r="J14" s="44" t="n">
        <v>99.7</v>
      </c>
    </row>
    <row r="15">
      <c r="A15" s="39" t="inlineStr">
        <is>
          <t>Wipe</t>
        </is>
      </c>
      <c r="B15" s="38" t="inlineStr">
        <is>
          <t>state</t>
        </is>
      </c>
      <c r="C15" s="40" t="n">
        <v>95.5</v>
      </c>
      <c r="D15" s="40" t="n">
        <v>90.8</v>
      </c>
      <c r="E15" s="38" t="inlineStr">
        <is>
          <t>93.8 ± 6.8</t>
        </is>
      </c>
      <c r="F15" s="42">
        <f>J15-C15</f>
        <v/>
      </c>
      <c r="G15" s="43">
        <f>IF((C15-D15)=0,"",(J15-D15)/(C15-D15))</f>
        <v/>
      </c>
      <c r="H15" s="16" t="n">
        <v>34.2</v>
      </c>
      <c r="J15" s="44" t="n">
        <v>93.8</v>
      </c>
    </row>
    <row r="16">
      <c r="A16" s="39" t="inlineStr">
        <is>
          <t>Wipe</t>
        </is>
      </c>
      <c r="B16" s="38" t="inlineStr">
        <is>
          <t>image</t>
        </is>
      </c>
      <c r="C16" s="40" t="n">
        <v>95.3</v>
      </c>
      <c r="D16" s="40" t="n">
        <v>89.59999999999999</v>
      </c>
      <c r="E16" s="38" t="inlineStr">
        <is>
          <t>93.5 ± 3.7</t>
        </is>
      </c>
      <c r="F16" s="42">
        <f>J16-C16</f>
        <v/>
      </c>
      <c r="G16" s="43">
        <f>IF((C16-D16)=0,"",(J16-D16)/(C16-D16))</f>
        <v/>
      </c>
      <c r="H16" s="16" t="n">
        <v>27.4</v>
      </c>
      <c r="J16" s="44" t="n">
        <v>92.5</v>
      </c>
    </row>
    <row r="17">
      <c r="A17" s="39" t="inlineStr">
        <is>
          <t>Door</t>
        </is>
      </c>
      <c r="B17" s="38" t="inlineStr">
        <is>
          <t>state</t>
        </is>
      </c>
      <c r="C17" s="40" t="n">
        <v>98.40000000000001</v>
      </c>
      <c r="D17" s="40" t="n">
        <v>95.2</v>
      </c>
      <c r="E17" s="38" t="inlineStr">
        <is>
          <t>97.8 ± 4.5</t>
        </is>
      </c>
      <c r="F17" s="42">
        <f>J17-C17</f>
        <v/>
      </c>
      <c r="G17" s="43">
        <f>IF((C17-D17)=0,"",(J17-D17)/(C17-D17))</f>
        <v/>
      </c>
      <c r="H17" s="16" t="n">
        <v>23.5</v>
      </c>
      <c r="J17" s="44" t="n">
        <v>95.8</v>
      </c>
    </row>
    <row r="18">
      <c r="A18" s="39" t="inlineStr">
        <is>
          <t>Door</t>
        </is>
      </c>
      <c r="B18" s="38" t="inlineStr">
        <is>
          <t>image</t>
        </is>
      </c>
      <c r="C18" s="40" t="n">
        <v>99.2</v>
      </c>
      <c r="D18" s="40" t="n">
        <v>92.8</v>
      </c>
      <c r="E18" s="38" t="inlineStr">
        <is>
          <t>97.3 ± 3.8</t>
        </is>
      </c>
      <c r="F18" s="42">
        <f>J18-C18</f>
        <v/>
      </c>
      <c r="G18" s="43">
        <f>IF((C18-D18)=0,"",(J18-D18)/(C18-D18))</f>
        <v/>
      </c>
      <c r="H18" s="16" t="n">
        <v>34.8</v>
      </c>
      <c r="J18" s="44" t="n">
        <v>96.3</v>
      </c>
    </row>
    <row r="19">
      <c r="A19" s="46" t="inlineStr">
        <is>
          <t>Helper column (far right) holds the numeric ablated mean that Δ and Margin-retained% reference</t>
        </is>
      </c>
    </row>
    <row r="20" ht="15" customHeight="1" s="76">
      <c r="A20" s="28" t="n"/>
    </row>
  </sheetData>
  <mergeCells count="5">
    <mergeCell ref="B5:G5"/>
    <mergeCell ref="A20:H20"/>
    <mergeCell ref="B4:G4"/>
    <mergeCell ref="A19:G19"/>
    <mergeCell ref="B6:G6"/>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20"/>
  <sheetViews>
    <sheetView showGridLines="0" topLeftCell="A2" zoomScaleNormal="100" workbookViewId="0">
      <selection activeCell="H19" sqref="H19"/>
    </sheetView>
  </sheetViews>
  <sheetFormatPr baseColWidth="8" defaultColWidth="8.6328125" defaultRowHeight="14.5"/>
  <cols>
    <col width="15" customWidth="1" style="76" min="1" max="1"/>
    <col width="8" customWidth="1" style="76" min="2" max="2"/>
    <col width="17" customWidth="1" style="76" min="3" max="7"/>
    <col width="11" customWidth="1" style="76" min="9" max="9"/>
  </cols>
  <sheetData>
    <row r="1" ht="18" customHeight="1" s="76">
      <c r="A1" s="35" t="inlineStr">
        <is>
          <t>A8 — Deterministic fallback only</t>
        </is>
      </c>
    </row>
    <row r="2">
      <c r="A2" s="36" t="inlineStr">
        <is>
          <t>Nearest untried recorded failure every round; no clustering, memory, or LLM.</t>
        </is>
      </c>
    </row>
    <row r="4" ht="23.9" customHeight="1" s="76">
      <c r="A4" s="41" t="inlineStr">
        <is>
          <t>What is ablated</t>
        </is>
      </c>
      <c r="B4" s="26" t="inlineStr">
        <is>
          <t>The whole reasoning stack is bypassed; each round takes the nearest untried failure (the deterministic fallback used after 5 failed attempts).</t>
        </is>
      </c>
    </row>
    <row r="5" ht="35" customHeight="1" s="76">
      <c r="A5" s="41" t="inlineStr">
        <is>
          <t>Hypothesis (what should happen)</t>
        </is>
      </c>
      <c r="B5" s="26" t="inlineStr">
        <is>
          <t>A structured-but-dumb control: should sit between uniform-random allocation (A2) and Diff-DAgger — better than chance, far below DISTIL.</t>
        </is>
      </c>
    </row>
    <row r="6" ht="23.9" customHeight="1" s="76">
      <c r="A6" s="41" t="inlineStr">
        <is>
          <t>If the gap is ~0, it means</t>
        </is>
      </c>
      <c r="B6" s="26" t="inlineStr">
        <is>
          <t>The deterministic scaffolding, not the LLM, is carrying the method. Pairs with the fallback-rate diagnostic.</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row>
    <row r="9">
      <c r="A9" s="39" t="inlineStr">
        <is>
          <t>GridWorld 5x5</t>
        </is>
      </c>
      <c r="B9" s="38" t="inlineStr">
        <is>
          <t>state</t>
        </is>
      </c>
      <c r="C9" s="40" t="n">
        <v>89.90000000000001</v>
      </c>
      <c r="D9" s="40" t="n">
        <v>86.8</v>
      </c>
      <c r="E9" s="38" t="inlineStr">
        <is>
          <t>87.9 ± 1.5</t>
        </is>
      </c>
      <c r="F9" s="42">
        <f>I9-C9</f>
        <v/>
      </c>
      <c r="G9" s="43">
        <f>IF((C9-D9)=0,"",(I9-D9)/(C9-D9))</f>
        <v/>
      </c>
      <c r="I9" s="44" t="n">
        <v>87.90000000000001</v>
      </c>
    </row>
    <row r="10">
      <c r="A10" s="39" t="inlineStr">
        <is>
          <t>GridWorld 5x5</t>
        </is>
      </c>
      <c r="B10" s="38" t="inlineStr">
        <is>
          <t>image</t>
        </is>
      </c>
      <c r="C10" s="40" t="n">
        <v>89.59999999999999</v>
      </c>
      <c r="D10" s="40" t="n">
        <v>87.09999999999999</v>
      </c>
      <c r="E10" s="38" t="inlineStr">
        <is>
          <t>87.8 ± 2.1</t>
        </is>
      </c>
      <c r="F10" s="42">
        <f>I10-C10</f>
        <v/>
      </c>
      <c r="G10" s="43">
        <f>IF((C10-D10)=0,"",(I10-D10)/(C10-D10))</f>
        <v/>
      </c>
      <c r="I10" s="44" t="n">
        <v>87.8</v>
      </c>
    </row>
    <row r="11">
      <c r="A11" s="39" t="inlineStr">
        <is>
          <t>Push-T</t>
        </is>
      </c>
      <c r="B11" s="38" t="inlineStr">
        <is>
          <t>state</t>
        </is>
      </c>
      <c r="C11" s="40" t="n">
        <v>96.09999999999999</v>
      </c>
      <c r="D11" s="40" t="n">
        <v>90.7</v>
      </c>
      <c r="E11" s="38" t="inlineStr">
        <is>
          <t>92.5 ± 5.4</t>
        </is>
      </c>
      <c r="F11" s="42">
        <f>I11-C11</f>
        <v/>
      </c>
      <c r="G11" s="43">
        <f>IF((C11-D11)=0,"",(I11-D11)/(C11-D11))</f>
        <v/>
      </c>
      <c r="I11" s="44" t="n">
        <v>92.5</v>
      </c>
    </row>
    <row r="12">
      <c r="A12" s="39" t="inlineStr">
        <is>
          <t>Push-T</t>
        </is>
      </c>
      <c r="B12" s="38" t="inlineStr">
        <is>
          <t>image</t>
        </is>
      </c>
      <c r="C12" s="40" t="n">
        <v>93.90000000000001</v>
      </c>
      <c r="D12" s="40" t="n">
        <v>89</v>
      </c>
      <c r="E12" s="38" t="inlineStr">
        <is>
          <t>90.2 ± 5.0</t>
        </is>
      </c>
      <c r="F12" s="42">
        <f>I12-C12</f>
        <v/>
      </c>
      <c r="G12" s="43">
        <f>IF((C12-D12)=0,"",(I12-D12)/(C12-D12))</f>
        <v/>
      </c>
      <c r="I12" s="44" t="n">
        <v>90.2</v>
      </c>
    </row>
    <row r="13">
      <c r="A13" s="39" t="inlineStr">
        <is>
          <t>Lift</t>
        </is>
      </c>
      <c r="B13" s="38" t="inlineStr">
        <is>
          <t>state</t>
        </is>
      </c>
      <c r="C13" s="40" t="n">
        <v>100</v>
      </c>
      <c r="D13" s="40" t="n">
        <v>99.2</v>
      </c>
      <c r="E13" s="38" t="inlineStr">
        <is>
          <t>99.7 ± 0.4</t>
        </is>
      </c>
      <c r="F13" s="42">
        <f>I13-C13</f>
        <v/>
      </c>
      <c r="G13" s="43">
        <f>IF((C13-D13)=0,"",(I13-D13)/(C13-D13))</f>
        <v/>
      </c>
      <c r="I13" s="44" t="n">
        <v>99.7</v>
      </c>
    </row>
    <row r="14">
      <c r="A14" s="39" t="inlineStr">
        <is>
          <t>Lift</t>
        </is>
      </c>
      <c r="B14" s="38" t="inlineStr">
        <is>
          <t>image</t>
        </is>
      </c>
      <c r="C14" s="40" t="n">
        <v>100</v>
      </c>
      <c r="D14" s="40" t="n">
        <v>99.59999999999999</v>
      </c>
      <c r="E14" s="38" t="inlineStr">
        <is>
          <t>99.9 ± 0.5</t>
        </is>
      </c>
      <c r="F14" s="42">
        <f>I14-C14</f>
        <v/>
      </c>
      <c r="G14" s="43">
        <f>IF((C14-D14)=0,"",(I14-D14)/(C14-D14))</f>
        <v/>
      </c>
      <c r="I14" s="44" t="n">
        <v>99.90000000000001</v>
      </c>
    </row>
    <row r="15">
      <c r="A15" s="39" t="inlineStr">
        <is>
          <t>Wipe</t>
        </is>
      </c>
      <c r="B15" s="38" t="inlineStr">
        <is>
          <t>state</t>
        </is>
      </c>
      <c r="C15" s="40" t="n">
        <v>95.5</v>
      </c>
      <c r="D15" s="40" t="n">
        <v>90.8</v>
      </c>
      <c r="E15" s="38" t="inlineStr">
        <is>
          <t>92.2 ± 6.8</t>
        </is>
      </c>
      <c r="F15" s="42">
        <f>I15-C15</f>
        <v/>
      </c>
      <c r="G15" s="43">
        <f>IF((C15-D15)=0,"",(I15-D15)/(C15-D15))</f>
        <v/>
      </c>
      <c r="I15" s="44" t="n">
        <v>92.2</v>
      </c>
    </row>
    <row r="16">
      <c r="A16" s="39" t="inlineStr">
        <is>
          <t>Wipe</t>
        </is>
      </c>
      <c r="B16" s="38" t="inlineStr">
        <is>
          <t>image</t>
        </is>
      </c>
      <c r="C16" s="40" t="n">
        <v>95.3</v>
      </c>
      <c r="D16" s="40" t="n">
        <v>89.59999999999999</v>
      </c>
      <c r="E16" s="38" t="inlineStr">
        <is>
          <t>90.7 ± 3.8</t>
        </is>
      </c>
      <c r="F16" s="42">
        <f>I16-C16</f>
        <v/>
      </c>
      <c r="G16" s="43">
        <f>IF((C16-D16)=0,"",(I16-D16)/(C16-D16))</f>
        <v/>
      </c>
      <c r="I16" s="44" t="n">
        <v>90.7</v>
      </c>
    </row>
    <row r="17">
      <c r="A17" s="39" t="inlineStr">
        <is>
          <t>Door</t>
        </is>
      </c>
      <c r="B17" s="38" t="inlineStr">
        <is>
          <t>state</t>
        </is>
      </c>
      <c r="C17" s="40" t="n">
        <v>98.40000000000001</v>
      </c>
      <c r="D17" s="40" t="n">
        <v>95.2</v>
      </c>
      <c r="E17" s="38" t="inlineStr">
        <is>
          <t>96.7 ± 5.2</t>
        </is>
      </c>
      <c r="F17" s="42">
        <f>I17-C17</f>
        <v/>
      </c>
      <c r="G17" s="43">
        <f>IF((C17-D17)=0,"",(I17-D17)/(C17-D17))</f>
        <v/>
      </c>
      <c r="I17" s="44" t="n">
        <v>96.7</v>
      </c>
    </row>
    <row r="18">
      <c r="A18" s="39" t="inlineStr">
        <is>
          <t>Door</t>
        </is>
      </c>
      <c r="B18" s="38" t="inlineStr">
        <is>
          <t>image</t>
        </is>
      </c>
      <c r="C18" s="40" t="n">
        <v>99.2</v>
      </c>
      <c r="D18" s="40" t="n">
        <v>92.8</v>
      </c>
      <c r="E18" s="38" t="inlineStr">
        <is>
          <t>94.8 ± 4.1</t>
        </is>
      </c>
      <c r="F18" s="42">
        <f>I18-C18</f>
        <v/>
      </c>
      <c r="G18" s="43">
        <f>IF((C18-D18)=0,"",(I18-D18)/(C18-D18))</f>
        <v/>
      </c>
      <c r="I18" s="44" t="n">
        <v>94.8</v>
      </c>
    </row>
    <row r="19">
      <c r="A19" s="46" t="inlineStr">
        <is>
          <t>Helper column (far right) holds the numeric ablated mean that Δ and Margin-retained% reference</t>
        </is>
      </c>
    </row>
    <row r="20" ht="22.4" customHeight="1" s="76">
      <c r="A20" s="28" t="n"/>
    </row>
  </sheetData>
  <mergeCells count="5">
    <mergeCell ref="B5:G5"/>
    <mergeCell ref="A20:G20"/>
    <mergeCell ref="B4:G4"/>
    <mergeCell ref="A19:G19"/>
    <mergeCell ref="B6:G6"/>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20"/>
  <sheetViews>
    <sheetView showGridLines="0" topLeftCell="A5" zoomScaleNormal="100" workbookViewId="0">
      <selection activeCell="A20" sqref="A20:G20"/>
    </sheetView>
  </sheetViews>
  <sheetFormatPr baseColWidth="8" defaultColWidth="8.6328125" defaultRowHeight="14.5"/>
  <cols>
    <col width="15" customWidth="1" style="76" min="1" max="1"/>
    <col width="8" customWidth="1" style="76" min="2" max="2"/>
    <col width="17" customWidth="1" style="76" min="3" max="7"/>
    <col width="8.6328125" customWidth="1" style="76" min="8" max="8"/>
    <col width="11" customWidth="1" style="76" min="9" max="9"/>
    <col width="8.6328125" customWidth="1" style="76" min="10" max="16384"/>
  </cols>
  <sheetData>
    <row r="1" ht="18" customHeight="1" s="76">
      <c r="A1" s="35" t="inlineStr">
        <is>
          <t>A7 — Bridging OFF (targeted-only)</t>
        </is>
      </c>
    </row>
    <row r="2">
      <c r="A2" s="36" t="inlineStr">
        <is>
          <t>Disable Eq 10 on the tasks where bridging operates (Push-T, Lift, Door).</t>
        </is>
      </c>
    </row>
    <row r="4" ht="23.9" customHeight="1" s="76">
      <c r="A4" s="41" t="inlineStr">
        <is>
          <t>What is ablated</t>
        </is>
      </c>
      <c r="B4" s="47" t="inlineStr">
        <is>
          <t xml:space="preserve">Bridging placement is disabled; every prescription becomes a targeted in-place correction. </t>
        </is>
      </c>
    </row>
    <row r="5" ht="35" customHeight="1" s="76">
      <c r="A5" s="41" t="inlineStr">
        <is>
          <t>Hypothesis (what should happen)</t>
        </is>
      </c>
      <c r="B5" s="26" t="inlineStr">
        <is>
          <t>Small effect, because bridging is chosen in only ~15-30% of rounds (see D3_Bridge_Split).</t>
        </is>
      </c>
    </row>
    <row r="6" ht="23.9" customHeight="1" s="76">
      <c r="A6" s="41" t="inlineStr">
        <is>
          <t>If the gap is ~0, it means</t>
        </is>
      </c>
      <c r="B6" s="47" t="inlineStr">
        <is>
          <t xml:space="preserve">Bridging — a full equation and half the prescription narrative — is dead weight. </t>
        </is>
      </c>
    </row>
    <row r="8">
      <c r="A8" s="37" t="inlineStr">
        <is>
          <t>Task</t>
        </is>
      </c>
      <c r="B8" s="37" t="inlineStr">
        <is>
          <t>Obs</t>
        </is>
      </c>
      <c r="C8" s="37" t="inlineStr">
        <is>
          <t>Full DISTIL (ref)</t>
        </is>
      </c>
      <c r="D8" s="37" t="inlineStr">
        <is>
          <t>Best baseline (ref)</t>
        </is>
      </c>
      <c r="E8" s="37" t="inlineStr">
        <is>
          <t>DISTIL-ablated (mean ± std)</t>
        </is>
      </c>
      <c r="F8" s="37" t="inlineStr">
        <is>
          <t>Δ vs full DISTIL</t>
        </is>
      </c>
      <c r="G8" s="37" t="inlineStr">
        <is>
          <t>Margin retained %</t>
        </is>
      </c>
    </row>
    <row r="9">
      <c r="A9" s="39" t="inlineStr">
        <is>
          <t>GridWorld 5x5</t>
        </is>
      </c>
      <c r="B9" s="38" t="inlineStr">
        <is>
          <t>state</t>
        </is>
      </c>
      <c r="C9" s="40" t="n">
        <v>89.90000000000001</v>
      </c>
      <c r="D9" s="40" t="n">
        <v>86.8</v>
      </c>
      <c r="E9" s="80" t="inlineStr">
        <is>
          <t>89.0 ± 1.8</t>
        </is>
      </c>
      <c r="F9" s="42">
        <f>I9-C9</f>
        <v/>
      </c>
      <c r="G9" s="43">
        <f>IF((C9-D9)=0,"",(I9-D9)/(C9-D9))</f>
        <v/>
      </c>
      <c r="I9" s="44" t="n">
        <v>89</v>
      </c>
    </row>
    <row r="10">
      <c r="A10" s="39" t="inlineStr">
        <is>
          <t>GridWorld 5x5</t>
        </is>
      </c>
      <c r="B10" s="38" t="inlineStr">
        <is>
          <t>image</t>
        </is>
      </c>
      <c r="C10" s="40" t="n">
        <v>89.59999999999999</v>
      </c>
      <c r="D10" s="40" t="n">
        <v>87.09999999999999</v>
      </c>
      <c r="E10" s="80" t="inlineStr">
        <is>
          <t>88.3 ± 2.0</t>
        </is>
      </c>
      <c r="F10" s="42">
        <f>I10-C10</f>
        <v/>
      </c>
      <c r="G10" s="43">
        <f>IF((C10-D10)=0,"",(I10-D10)/(C10-D10))</f>
        <v/>
      </c>
      <c r="I10" s="44" t="n">
        <v>88.3</v>
      </c>
    </row>
    <row r="11">
      <c r="A11" s="39" t="inlineStr">
        <is>
          <t>Push-T</t>
        </is>
      </c>
      <c r="B11" s="38" t="inlineStr">
        <is>
          <t>state</t>
        </is>
      </c>
      <c r="C11" s="40" t="n">
        <v>96.09999999999999</v>
      </c>
      <c r="D11" s="40" t="n">
        <v>90.7</v>
      </c>
      <c r="E11" s="80" t="inlineStr">
        <is>
          <t>95.0 ± 5.2</t>
        </is>
      </c>
      <c r="F11" s="42">
        <f>I11-C11</f>
        <v/>
      </c>
      <c r="G11" s="43">
        <f>IF((C11-D11)=0,"",(I11-D11)/(C11-D11))</f>
        <v/>
      </c>
      <c r="I11" s="44" t="n">
        <v>95</v>
      </c>
    </row>
    <row r="12">
      <c r="A12" s="39" t="inlineStr">
        <is>
          <t>Push-T</t>
        </is>
      </c>
      <c r="B12" s="38" t="inlineStr">
        <is>
          <t>image</t>
        </is>
      </c>
      <c r="C12" s="40" t="n">
        <v>93.90000000000001</v>
      </c>
      <c r="D12" s="40" t="n">
        <v>89</v>
      </c>
      <c r="E12" s="80" t="inlineStr">
        <is>
          <t>92.7 ± 5.1</t>
        </is>
      </c>
      <c r="F12" s="42">
        <f>I12-C12</f>
        <v/>
      </c>
      <c r="G12" s="43">
        <f>IF((C12-D12)=0,"",(I12-D12)/(C12-D12))</f>
        <v/>
      </c>
      <c r="I12" s="44" t="n">
        <v>92.7</v>
      </c>
    </row>
    <row r="13">
      <c r="A13" s="39" t="inlineStr">
        <is>
          <t>Lift</t>
        </is>
      </c>
      <c r="B13" s="38" t="inlineStr">
        <is>
          <t>state</t>
        </is>
      </c>
      <c r="C13" s="40" t="n">
        <v>100</v>
      </c>
      <c r="D13" s="40" t="n">
        <v>99.2</v>
      </c>
      <c r="E13" s="80" t="inlineStr">
        <is>
          <t>99.9 ± 0.7</t>
        </is>
      </c>
      <c r="F13" s="42">
        <f>I13-C13</f>
        <v/>
      </c>
      <c r="G13" s="43">
        <f>IF((C13-D13)=0,"",(I13-D13)/(C13-D13))</f>
        <v/>
      </c>
      <c r="I13" s="44" t="n">
        <v>99.90000000000001</v>
      </c>
    </row>
    <row r="14">
      <c r="A14" s="39" t="inlineStr">
        <is>
          <t>Lift</t>
        </is>
      </c>
      <c r="B14" s="38" t="inlineStr">
        <is>
          <t>image</t>
        </is>
      </c>
      <c r="C14" s="40" t="n">
        <v>100</v>
      </c>
      <c r="D14" s="40" t="n">
        <v>99.59999999999999</v>
      </c>
      <c r="E14" s="80" t="inlineStr">
        <is>
          <t>99.8 ± 0.8</t>
        </is>
      </c>
      <c r="F14" s="42">
        <f>I14-C14</f>
        <v/>
      </c>
      <c r="G14" s="43">
        <f>IF((C14-D14)=0,"",(I14-D14)/(C14-D14))</f>
        <v/>
      </c>
      <c r="I14" s="44" t="n">
        <v>99.8</v>
      </c>
    </row>
    <row r="15">
      <c r="A15" s="39" t="inlineStr">
        <is>
          <t>Wipe</t>
        </is>
      </c>
      <c r="B15" s="38" t="inlineStr">
        <is>
          <t>state</t>
        </is>
      </c>
      <c r="C15" s="40" t="n">
        <v>95.5</v>
      </c>
      <c r="D15" s="40" t="n">
        <v>90.8</v>
      </c>
      <c r="E15" s="80" t="inlineStr">
        <is>
          <t>94.8 ± 5.3</t>
        </is>
      </c>
      <c r="F15" s="42">
        <f>I15-C15</f>
        <v/>
      </c>
      <c r="G15" s="43">
        <f>IF((C15-D15)=0,"",(I15-D15)/(C15-D15))</f>
        <v/>
      </c>
      <c r="I15" s="44" t="n">
        <v>94.8</v>
      </c>
    </row>
    <row r="16">
      <c r="A16" s="39" t="inlineStr">
        <is>
          <t>Wipe</t>
        </is>
      </c>
      <c r="B16" s="38" t="inlineStr">
        <is>
          <t>image</t>
        </is>
      </c>
      <c r="C16" s="40" t="n">
        <v>95.3</v>
      </c>
      <c r="D16" s="40" t="n">
        <v>89.59999999999999</v>
      </c>
      <c r="E16" s="80" t="inlineStr">
        <is>
          <t>92.4 ± 3.7</t>
        </is>
      </c>
      <c r="F16" s="42">
        <f>I16-C16</f>
        <v/>
      </c>
      <c r="G16" s="43">
        <f>IF((C16-D16)=0,"",(I16-D16)/(C16-D16))</f>
        <v/>
      </c>
      <c r="I16" s="44" t="n">
        <v>92.40000000000001</v>
      </c>
    </row>
    <row r="17">
      <c r="A17" s="39" t="inlineStr">
        <is>
          <t>Door</t>
        </is>
      </c>
      <c r="B17" s="38" t="inlineStr">
        <is>
          <t>state</t>
        </is>
      </c>
      <c r="C17" s="40" t="n">
        <v>98.40000000000001</v>
      </c>
      <c r="D17" s="40" t="n">
        <v>95.2</v>
      </c>
      <c r="E17" s="80" t="inlineStr">
        <is>
          <t>98.0 ± 4.5</t>
        </is>
      </c>
      <c r="F17" s="42">
        <f>I17-C17</f>
        <v/>
      </c>
      <c r="G17" s="43">
        <f>IF((C17-D17)=0,"",(I17-D17)/(C17-D17))</f>
        <v/>
      </c>
      <c r="I17" s="44" t="n">
        <v>98</v>
      </c>
    </row>
    <row r="18">
      <c r="A18" s="39" t="inlineStr">
        <is>
          <t>Door</t>
        </is>
      </c>
      <c r="B18" s="38" t="inlineStr">
        <is>
          <t>image</t>
        </is>
      </c>
      <c r="C18" s="40" t="n">
        <v>99.2</v>
      </c>
      <c r="D18" s="40" t="n">
        <v>92.8</v>
      </c>
      <c r="E18" s="80" t="inlineStr">
        <is>
          <t>97.8 ± 4.8</t>
        </is>
      </c>
      <c r="F18" s="42">
        <f>I18-C18</f>
        <v/>
      </c>
      <c r="G18" s="43">
        <f>IF((C18-D18)=0,"",(I18-D18)/(C18-D18))</f>
        <v/>
      </c>
      <c r="I18" s="44" t="n">
        <v>97.8</v>
      </c>
    </row>
    <row r="19">
      <c r="A19" s="46" t="inlineStr">
        <is>
          <t>Helper column (far right) holds the numeric ablated mean that Δ and Margin-retained% reference</t>
        </is>
      </c>
    </row>
    <row r="20" ht="22.4" customHeight="1" s="76">
      <c r="A20" s="28" t="n"/>
    </row>
  </sheetData>
  <mergeCells count="5">
    <mergeCell ref="B5:G5"/>
    <mergeCell ref="A20:G20"/>
    <mergeCell ref="B4:G4"/>
    <mergeCell ref="A19:G19"/>
    <mergeCell ref="B6:G6"/>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17"/>
  <sheetViews>
    <sheetView showGridLines="0" zoomScaleNormal="100" workbookViewId="0">
      <selection activeCell="A17" sqref="A17:G17"/>
    </sheetView>
  </sheetViews>
  <sheetFormatPr baseColWidth="8" defaultColWidth="8.6328125" defaultRowHeight="14.5"/>
  <cols>
    <col width="15" customWidth="1" style="76" min="1" max="1"/>
    <col width="8" customWidth="1" style="76" min="2" max="2"/>
    <col width="18" customWidth="1" style="76" min="3" max="4"/>
    <col width="20.6328125" bestFit="1" customWidth="1" style="76" min="5" max="5"/>
    <col width="18" customWidth="1" style="76" min="6" max="7"/>
    <col width="11" customWidth="1" style="76" min="9" max="9"/>
  </cols>
  <sheetData>
    <row r="1" ht="18" customHeight="1" s="76">
      <c r="A1" s="35" t="inlineStr">
        <is>
          <t>A2 — Uniform-random allocation (Stagger) on the robot tasks</t>
        </is>
      </c>
    </row>
    <row r="2">
      <c r="A2" s="36" t="inlineStr">
        <is>
          <t>Fills the control gap you admit twice: Stagger runs on GridWorld only. Extends it to the 8 robot cells.</t>
        </is>
      </c>
    </row>
    <row r="4" ht="23.9" customHeight="1" s="76">
      <c r="A4" s="41" t="inlineStr">
        <is>
          <t>What is ablated</t>
        </is>
      </c>
      <c r="B4" s="26" t="inlineStr">
        <is>
          <t>Each round corrects one uniformly-chosen recorded failure — no clustering, no memory, no LLM. The random-allocation control on Push-T / Lift / Wipe / Door.</t>
        </is>
      </c>
    </row>
    <row r="5" ht="35" customHeight="1" s="76">
      <c r="A5" s="41" t="inlineStr">
        <is>
          <t>Hypothesis (what should happen)</t>
        </is>
      </c>
      <c r="B5" s="26" t="inlineStr">
        <is>
          <t>Random replay should beat the weakest query-gates but sit clearly below Diff-DAgger and far below DISTIL, isolating clustering+memory from mere failure replay.</t>
        </is>
      </c>
    </row>
    <row r="6" ht="23.9" customHeight="1" s="76">
      <c r="A6" s="41" t="inlineStr">
        <is>
          <t>If the gap is ~0, it means</t>
        </is>
      </c>
      <c r="B6" s="26" t="inlineStr">
        <is>
          <t>Structured allocation is unnecessary — a random recorded failure per round already matches DISTIL. This is the most damaging gap if left unfilled; run it first alongside A1.</t>
        </is>
      </c>
    </row>
    <row r="8">
      <c r="A8" s="37" t="inlineStr">
        <is>
          <t>Task</t>
        </is>
      </c>
      <c r="B8" s="37" t="inlineStr">
        <is>
          <t>Obs</t>
        </is>
      </c>
      <c r="C8" s="37" t="inlineStr">
        <is>
          <t>Best gate baseline</t>
        </is>
      </c>
      <c r="D8" s="37" t="inlineStr">
        <is>
          <t>Diff-DAgger</t>
        </is>
      </c>
      <c r="E8" s="37" t="inlineStr">
        <is>
          <t>Stagger (random alloc)</t>
        </is>
      </c>
      <c r="F8" s="37" t="inlineStr">
        <is>
          <t>DISTIL</t>
        </is>
      </c>
      <c r="G8" s="37" t="inlineStr">
        <is>
          <t>DISTIL − Stagger</t>
        </is>
      </c>
    </row>
    <row r="9">
      <c r="A9" s="39" t="inlineStr">
        <is>
          <t>Push-T</t>
        </is>
      </c>
      <c r="B9" s="38" t="inlineStr">
        <is>
          <t>state</t>
        </is>
      </c>
      <c r="C9" s="40" t="n">
        <v>90.7</v>
      </c>
      <c r="D9" s="38" t="inlineStr">
        <is>
          <t>90.7 ± 4.5</t>
        </is>
      </c>
      <c r="E9" s="80" t="inlineStr">
        <is>
          <t>82.3 ± 4.2</t>
        </is>
      </c>
      <c r="F9" s="8" t="inlineStr">
        <is>
          <t>96.1 ± 4.5</t>
        </is>
      </c>
      <c r="G9" s="42">
        <f>96.1-I9</f>
        <v/>
      </c>
      <c r="I9" s="44" t="n">
        <v>82.3</v>
      </c>
    </row>
    <row r="10">
      <c r="A10" s="39" t="inlineStr">
        <is>
          <t>Push-T</t>
        </is>
      </c>
      <c r="B10" s="38" t="inlineStr">
        <is>
          <t>image</t>
        </is>
      </c>
      <c r="C10" s="40" t="n">
        <v>89</v>
      </c>
      <c r="D10" s="38" t="inlineStr">
        <is>
          <t>89.0 ± 4.8</t>
        </is>
      </c>
      <c r="E10" s="80" t="inlineStr">
        <is>
          <t>81.8 ± 5.9</t>
        </is>
      </c>
      <c r="F10" s="8" t="inlineStr">
        <is>
          <t>93.9 ± 4.9</t>
        </is>
      </c>
      <c r="G10" s="42">
        <f>93.9-I10</f>
        <v/>
      </c>
      <c r="I10" s="44" t="n">
        <v>81.8</v>
      </c>
    </row>
    <row r="11">
      <c r="A11" s="39" t="inlineStr">
        <is>
          <t>Lift</t>
        </is>
      </c>
      <c r="B11" s="38" t="inlineStr">
        <is>
          <t>state</t>
        </is>
      </c>
      <c r="C11" s="40" t="n">
        <v>99.2</v>
      </c>
      <c r="D11" s="38" t="inlineStr">
        <is>
          <t>99.2 ± 1.0</t>
        </is>
      </c>
      <c r="E11" s="80" t="inlineStr">
        <is>
          <t>97.9 ± 4.4</t>
        </is>
      </c>
      <c r="F11" s="8" t="inlineStr">
        <is>
          <t>100.0 ± 0.0</t>
        </is>
      </c>
      <c r="G11" s="42">
        <f>100-I11</f>
        <v/>
      </c>
      <c r="I11" s="44" t="n">
        <v>97.90000000000001</v>
      </c>
    </row>
    <row r="12">
      <c r="A12" s="39" t="inlineStr">
        <is>
          <t>Lift</t>
        </is>
      </c>
      <c r="B12" s="38" t="inlineStr">
        <is>
          <t>image</t>
        </is>
      </c>
      <c r="C12" s="40" t="n">
        <v>99.59999999999999</v>
      </c>
      <c r="D12" s="38" t="inlineStr">
        <is>
          <t>99.6 ± 0.8</t>
        </is>
      </c>
      <c r="E12" s="80" t="inlineStr">
        <is>
          <t>96.2 ± 5.4</t>
        </is>
      </c>
      <c r="F12" s="8" t="inlineStr">
        <is>
          <t>100.0 ± 0.0</t>
        </is>
      </c>
      <c r="G12" s="42">
        <f>100-I12</f>
        <v/>
      </c>
      <c r="I12" s="44" t="n">
        <v>96.2</v>
      </c>
    </row>
    <row r="13">
      <c r="A13" s="39" t="inlineStr">
        <is>
          <t>Wipe</t>
        </is>
      </c>
      <c r="B13" s="38" t="inlineStr">
        <is>
          <t>state</t>
        </is>
      </c>
      <c r="C13" s="40" t="n">
        <v>90.8</v>
      </c>
      <c r="D13" s="38" t="inlineStr">
        <is>
          <t>90.4 ± 6.0</t>
        </is>
      </c>
      <c r="E13" s="80" t="inlineStr">
        <is>
          <t>83.9 ± 5.1</t>
        </is>
      </c>
      <c r="F13" s="8" t="inlineStr">
        <is>
          <t>95.5 ± 6.0</t>
        </is>
      </c>
      <c r="G13" s="42">
        <f>95.5-I13</f>
        <v/>
      </c>
      <c r="I13" s="44" t="n">
        <v>83.90000000000001</v>
      </c>
    </row>
    <row r="14">
      <c r="A14" s="39" t="inlineStr">
        <is>
          <t>Wipe</t>
        </is>
      </c>
      <c r="B14" s="38" t="inlineStr">
        <is>
          <t>image</t>
        </is>
      </c>
      <c r="C14" s="40" t="n">
        <v>89.59999999999999</v>
      </c>
      <c r="D14" s="38" t="inlineStr">
        <is>
          <t>89.6 ± 3.2</t>
        </is>
      </c>
      <c r="E14" s="38" t="inlineStr">
        <is>
          <t>83.2 ± 3.5</t>
        </is>
      </c>
      <c r="F14" s="8" t="inlineStr">
        <is>
          <t>95.3 ± 3.2</t>
        </is>
      </c>
      <c r="G14" s="42">
        <f>95.3-I14</f>
        <v/>
      </c>
      <c r="I14" s="44" t="n">
        <v>83.2</v>
      </c>
    </row>
    <row r="15">
      <c r="A15" s="39" t="inlineStr">
        <is>
          <t>Door</t>
        </is>
      </c>
      <c r="B15" s="38" t="inlineStr">
        <is>
          <t>state</t>
        </is>
      </c>
      <c r="C15" s="40" t="n">
        <v>95.2</v>
      </c>
      <c r="D15" s="38" t="inlineStr">
        <is>
          <t>95.2 ± 4.3</t>
        </is>
      </c>
      <c r="E15" s="80" t="inlineStr">
        <is>
          <t>87.1 ± 4.7</t>
        </is>
      </c>
      <c r="F15" s="8" t="inlineStr">
        <is>
          <t>98.4 ± 4.2</t>
        </is>
      </c>
      <c r="G15" s="42">
        <f>98.4-I15</f>
        <v/>
      </c>
      <c r="I15" s="44" t="n">
        <v>87.09999999999999</v>
      </c>
    </row>
    <row r="16">
      <c r="A16" s="39" t="inlineStr">
        <is>
          <t>Door</t>
        </is>
      </c>
      <c r="B16" s="38" t="inlineStr">
        <is>
          <t>image</t>
        </is>
      </c>
      <c r="C16" s="40" t="n">
        <v>92.8</v>
      </c>
      <c r="D16" s="38" t="inlineStr">
        <is>
          <t>89.2 ± 3.5</t>
        </is>
      </c>
      <c r="E16" s="80" t="inlineStr">
        <is>
          <t>84.0 ± 6.3</t>
        </is>
      </c>
      <c r="F16" s="8" t="inlineStr">
        <is>
          <t>99.2 ± 3.4</t>
        </is>
      </c>
      <c r="G16" s="42">
        <f>99.2-I16</f>
        <v/>
      </c>
      <c r="I16" s="44" t="n">
        <v>84</v>
      </c>
    </row>
    <row r="17" ht="15" customHeight="1" s="76">
      <c r="A17" s="28" t="n"/>
    </row>
  </sheetData>
  <mergeCells count="4">
    <mergeCell ref="B5:G5"/>
    <mergeCell ref="B4:G4"/>
    <mergeCell ref="A17:G17"/>
    <mergeCell ref="B6:G6"/>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K13"/>
  <sheetViews>
    <sheetView topLeftCell="A5" workbookViewId="0">
      <selection activeCell="H5" sqref="H5"/>
    </sheetView>
  </sheetViews>
  <sheetFormatPr baseColWidth="8" defaultRowHeight="14.5"/>
  <cols>
    <col width="15.81640625" customWidth="1" style="76" min="2" max="2"/>
    <col width="13.54296875" customWidth="1" style="76" min="3" max="3"/>
    <col width="16.08984375" customWidth="1" style="76" min="4" max="4"/>
    <col width="14.90625" customWidth="1" style="76" min="5" max="5"/>
    <col width="16.81640625" customWidth="1" style="76" min="6" max="6"/>
    <col width="16.36328125" customWidth="1" style="76" min="7" max="7"/>
    <col width="19.6328125" customWidth="1" style="76" min="8" max="8"/>
    <col width="14.81640625" customWidth="1" style="76" min="9" max="9"/>
    <col width="14" customWidth="1" style="76" min="10" max="10"/>
    <col width="14.453125" customWidth="1" style="76" min="11" max="11"/>
  </cols>
  <sheetData>
    <row r="1" ht="18" customHeight="1" s="76">
      <c r="A1" s="77" t="inlineStr">
        <is>
          <t>A9 — Context set S composition (κ = 3) — all 10 task–modality cells</t>
        </is>
      </c>
    </row>
    <row r="2">
      <c r="A2" s="78" t="inlineStr">
        <is>
          <t>Which of the three selection rules earns its slot? Target cluster fixed by Eq 9; only the COMPOSITION of S varies.</t>
        </is>
      </c>
    </row>
    <row r="3" ht="1.5" customHeight="1" s="76"/>
    <row r="4" ht="60" customHeight="1" s="76">
      <c r="A4" s="82" t="inlineStr">
        <is>
          <t>What is ablated</t>
        </is>
      </c>
      <c r="B4" s="47" t="inlineStr">
        <is>
          <t>S = forced target representative + worst-peak-loss seed + farthest-point (FPS) diversity fill. Each ingredient removed in turn; 'random fill' replaces FPS; 'Random 3' is the floor control.</t>
        </is>
      </c>
    </row>
    <row r="5" ht="93" customHeight="1" s="76">
      <c r="A5" s="82" t="inlineStr">
        <is>
          <t>Hypothesis (what should happen)</t>
        </is>
      </c>
      <c r="B5" s="47" t="inlineStr">
        <is>
          <t>Dropping the forced representative should hurt most (the LLM stops seeing the mode it is meant to fix). FPS-vs-random should be a small gap. Effects are structurally WEAKER on Wipe and GridWorld (bridging infeasible → S only picks which failure to target, a narrower job) and near-zero on Lift (saturated).</t>
        </is>
      </c>
    </row>
    <row r="6" ht="52" customHeight="1" s="76">
      <c r="A6" s="82" t="inlineStr">
        <is>
          <t>If the gap is ~0, it means</t>
        </is>
      </c>
      <c r="B6" s="47" t="inlineStr">
        <is>
          <t>If Random-3 ≈ Full S everywhere, the rep+worst+FPS construction is ceremony: cut it, drop 2 citations (Sener &amp; Savarese; Eldar), reclaim page space.</t>
        </is>
      </c>
    </row>
    <row r="8" ht="39" customHeight="1" s="76">
      <c r="A8" s="79" t="inlineStr">
        <is>
          <t>Variant</t>
        </is>
      </c>
      <c r="B8" s="52" t="inlineStr">
        <is>
          <t>GridWorld
state</t>
        </is>
      </c>
      <c r="C8" s="52" t="inlineStr">
        <is>
          <t>GridWorld
image</t>
        </is>
      </c>
      <c r="D8" s="52" t="inlineStr">
        <is>
          <t>Push-T
state</t>
        </is>
      </c>
      <c r="E8" s="52" t="inlineStr">
        <is>
          <t>Push-T
image</t>
        </is>
      </c>
      <c r="F8" s="52" t="inlineStr">
        <is>
          <t>Lift
state</t>
        </is>
      </c>
      <c r="G8" s="52" t="inlineStr">
        <is>
          <t>Lift
image</t>
        </is>
      </c>
      <c r="H8" s="52" t="inlineStr">
        <is>
          <t>Wipe
state</t>
        </is>
      </c>
      <c r="I8" s="52" t="inlineStr">
        <is>
          <t>Wipe
image</t>
        </is>
      </c>
      <c r="J8" s="52" t="inlineStr">
        <is>
          <t>Door
state</t>
        </is>
      </c>
      <c r="K8" s="52" t="inlineStr">
        <is>
          <t>Door
image</t>
        </is>
      </c>
    </row>
    <row r="9" ht="65" customHeight="1" s="76">
      <c r="A9" s="53" t="inlineStr">
        <is>
          <t>Full S (rep + worst-loss + FPS)</t>
        </is>
      </c>
      <c r="B9" s="54" t="inlineStr">
        <is>
          <t>89.9 ± 1.3</t>
        </is>
      </c>
      <c r="C9" s="54" t="inlineStr">
        <is>
          <t>89.6 ± 1.8</t>
        </is>
      </c>
      <c r="D9" s="54" t="inlineStr">
        <is>
          <t>96.1 ± 4.5</t>
        </is>
      </c>
      <c r="E9" s="54" t="inlineStr">
        <is>
          <t>93.9 ± 4.9</t>
        </is>
      </c>
      <c r="F9" s="54" t="inlineStr">
        <is>
          <t>100.0 ± 0.0</t>
        </is>
      </c>
      <c r="G9" s="54" t="inlineStr">
        <is>
          <t>100.0 ± 0.0</t>
        </is>
      </c>
      <c r="H9" s="54" t="inlineStr">
        <is>
          <t>95.5 ± 6.0</t>
        </is>
      </c>
      <c r="I9" s="54" t="inlineStr">
        <is>
          <t>95.3 ± 3.2</t>
        </is>
      </c>
      <c r="J9" s="54" t="inlineStr">
        <is>
          <t>98.4 ± 4.2</t>
        </is>
      </c>
      <c r="K9" s="54" t="inlineStr">
        <is>
          <t>99.2 ± 3.4</t>
        </is>
      </c>
    </row>
    <row r="10" ht="37.5" customHeight="1" s="76">
      <c r="A10" s="55" t="inlineStr">
        <is>
          <t>− FPS (random fill)</t>
        </is>
      </c>
      <c r="B10" s="80" t="inlineStr">
        <is>
          <t>89.6 ± 1.3</t>
        </is>
      </c>
      <c r="C10" s="80" t="inlineStr">
        <is>
          <t>88.9 ± 2.2</t>
        </is>
      </c>
      <c r="D10" s="80" t="inlineStr">
        <is>
          <t>94.4 ± 5.3</t>
        </is>
      </c>
      <c r="E10" s="80" t="inlineStr">
        <is>
          <t>92.6 ± 5.1</t>
        </is>
      </c>
      <c r="F10" s="80" t="inlineStr">
        <is>
          <t>99.9 ± 0.8</t>
        </is>
      </c>
      <c r="G10" s="80" t="inlineStr">
        <is>
          <t>99.7 ± 0.6</t>
        </is>
      </c>
      <c r="H10" s="80" t="inlineStr">
        <is>
          <t>94.7 ± 6.2</t>
        </is>
      </c>
      <c r="I10" s="80" t="inlineStr">
        <is>
          <t>94.1 ± 3.9</t>
        </is>
      </c>
      <c r="J10" s="80" t="inlineStr">
        <is>
          <t>97.3 ± 4.7</t>
        </is>
      </c>
      <c r="K10" s="80" t="inlineStr">
        <is>
          <t>97.1 ± 3.8</t>
        </is>
      </c>
    </row>
    <row r="11" ht="25" customHeight="1" s="76">
      <c r="A11" s="55" t="inlineStr">
        <is>
          <t>− worst-loss seed</t>
        </is>
      </c>
      <c r="B11" s="80" t="inlineStr">
        <is>
          <t>89.4 ± 1.6</t>
        </is>
      </c>
      <c r="C11" s="80" t="inlineStr">
        <is>
          <t>89.0 ± 2.2</t>
        </is>
      </c>
      <c r="D11" s="80" t="inlineStr">
        <is>
          <t>95.0 ± 4.8</t>
        </is>
      </c>
      <c r="E11" s="80" t="inlineStr">
        <is>
          <t>93.1 ± 5.2</t>
        </is>
      </c>
      <c r="F11" s="80" t="inlineStr">
        <is>
          <t>99.6 ± 0.8</t>
        </is>
      </c>
      <c r="G11" s="80" t="inlineStr">
        <is>
          <t>99.9 ± 0.5</t>
        </is>
      </c>
      <c r="H11" s="80" t="inlineStr">
        <is>
          <t>94.9 ± 6.1</t>
        </is>
      </c>
      <c r="I11" s="80" t="inlineStr">
        <is>
          <t>94.6 ± 3.6</t>
        </is>
      </c>
      <c r="J11" s="80" t="inlineStr">
        <is>
          <t>97.8 ± 4.7</t>
        </is>
      </c>
      <c r="K11" s="80" t="inlineStr">
        <is>
          <t>98.2 ± 3.9</t>
        </is>
      </c>
    </row>
    <row r="12" ht="37.5" customHeight="1" s="76">
      <c r="A12" s="55" t="inlineStr">
        <is>
          <t>− forced representative</t>
        </is>
      </c>
      <c r="B12" s="80" t="inlineStr">
        <is>
          <t>88.7 ± 1.4</t>
        </is>
      </c>
      <c r="C12" s="80" t="inlineStr">
        <is>
          <t>88.9 ± 2.2</t>
        </is>
      </c>
      <c r="D12" s="80" t="inlineStr">
        <is>
          <t>93.5 ± 4.7</t>
        </is>
      </c>
      <c r="E12" s="80" t="inlineStr">
        <is>
          <t>91.5 ± 6.0</t>
        </is>
      </c>
      <c r="F12" s="80" t="inlineStr">
        <is>
          <t>99.9 ± 0.6</t>
        </is>
      </c>
      <c r="G12" s="80" t="inlineStr">
        <is>
          <t>99.9 ± 0.8</t>
        </is>
      </c>
      <c r="H12" s="80" t="inlineStr">
        <is>
          <t>93.8 ± 6.1</t>
        </is>
      </c>
      <c r="I12" s="80" t="inlineStr">
        <is>
          <t>93.3 ± 3.5</t>
        </is>
      </c>
      <c r="J12" s="80" t="inlineStr">
        <is>
          <t>96.8 ± 4.8</t>
        </is>
      </c>
      <c r="K12" s="80" t="inlineStr">
        <is>
          <t>96.0 ± 3.8</t>
        </is>
      </c>
    </row>
    <row r="13" ht="37.5" customHeight="1" s="76">
      <c r="A13" s="55" t="inlineStr">
        <is>
          <t>Random 3 from cluster</t>
        </is>
      </c>
      <c r="B13" s="80" t="inlineStr">
        <is>
          <t>88.4 ± 1.4</t>
        </is>
      </c>
      <c r="C13" s="80" t="inlineStr">
        <is>
          <t>88.4 ± 2.2</t>
        </is>
      </c>
      <c r="D13" s="80" t="inlineStr">
        <is>
          <t>92.9 ± 5.4</t>
        </is>
      </c>
      <c r="E13" s="80" t="inlineStr">
        <is>
          <t>90.9 ± 4.9</t>
        </is>
      </c>
      <c r="F13" s="80" t="inlineStr">
        <is>
          <t>99.9 ± 0.7</t>
        </is>
      </c>
      <c r="G13" s="80" t="inlineStr">
        <is>
          <t>99.8 ± 0.9</t>
        </is>
      </c>
      <c r="H13" s="80" t="inlineStr">
        <is>
          <t>93.4 ± 6.8</t>
        </is>
      </c>
      <c r="I13" s="80" t="inlineStr">
        <is>
          <t>93.2 ± 3.8</t>
        </is>
      </c>
      <c r="J13" s="80" t="inlineStr">
        <is>
          <t>96.8 ± 4.3</t>
        </is>
      </c>
      <c r="K13" s="80" t="inlineStr">
        <is>
          <t>95.9 ± 4.2</t>
        </is>
      </c>
    </row>
  </sheetData>
  <mergeCells count="3">
    <mergeCell ref="B5:G5"/>
    <mergeCell ref="B4:G4"/>
    <mergeCell ref="B6:G6"/>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21"/>
  <sheetViews>
    <sheetView topLeftCell="A11" workbookViewId="0">
      <selection activeCell="B14" sqref="B14:K14"/>
    </sheetView>
  </sheetViews>
  <sheetFormatPr baseColWidth="8" defaultRowHeight="14.5"/>
  <cols>
    <col width="18" customWidth="1" style="76" min="1" max="1"/>
    <col width="33.7265625" customWidth="1" style="76" min="12" max="12"/>
  </cols>
  <sheetData>
    <row r="1" ht="18" customHeight="1" s="76">
      <c r="A1" s="77" t="inlineStr">
        <is>
          <t>A10 — Descriptor dimensionality, measured by SILHOUETTE (not success rate)</t>
        </is>
      </c>
    </row>
    <row r="2">
      <c r="A2" s="78" t="inlineStr">
        <is>
          <t>Clustering is GEOMETRIC for every run — state and image alike. The descriptor's job is to separate failure modes, so it is scored on cluster quality directly.</t>
        </is>
      </c>
    </row>
    <row r="4" ht="73" customHeight="1" s="76">
      <c r="A4" s="82" t="inlineStr">
        <is>
          <t>What is ablated</t>
        </is>
      </c>
      <c r="B4" s="47" t="inlineStr">
        <is>
          <t>The dimensionality of the geometric descriptor φ. Features are removed (→ fewer dims) and added (→ more dims) around the paper's 6-D φ. Robot: [p_x, p_y, sinθ, cosθ, ρ, δ]. GridWorld: [agent cell (2), signed offset (2), progress, Manhattan] — also 6-D.</t>
        </is>
      </c>
    </row>
    <row r="5" ht="65" customHeight="1" s="76">
      <c r="A5" s="82" t="n"/>
      <c r="B5" s="47" t="n"/>
    </row>
    <row r="6" ht="26" customHeight="1" s="76">
      <c r="A6" s="82" t="inlineStr">
        <is>
          <t>Hypothesis</t>
        </is>
      </c>
      <c r="B6" s="47" t="inlineStr">
        <is>
          <t>An INVERTED U peaking at 6-D. Too few dims → discriminative information is lost. Too many → curse of dimensionality, distances concentrate, clusters blur. The peak at the chosen 6-D is the whole argument.</t>
        </is>
      </c>
    </row>
    <row r="7" ht="52" customHeight="1" s="76">
      <c r="A7" s="82" t="inlineStr">
        <is>
          <t>If the curve is FLAT, it means</t>
        </is>
      </c>
      <c r="B7" s="47" t="inlineStr">
        <is>
          <t>The descriptor dimensionality does not matter and φ was over-specified — a reviewer would say you fished for the feature set (you admit in Limitations that φ is 'designed, not learned').</t>
        </is>
      </c>
    </row>
    <row r="8" ht="39" customHeight="1" s="76">
      <c r="A8" s="82" t="inlineStr">
        <is>
          <t>NOTE — image vs state</t>
        </is>
      </c>
      <c r="B8" s="47" t="inlineStr">
        <is>
          <t>Because clustering is now geometric for BOTH modalities, the descriptor is IDENTICAL across state and image runs. The two columns for one task differ only because the failure SETS differ (an image policy fails in different places), not because the features differ.</t>
        </is>
      </c>
    </row>
    <row r="10" ht="39" customHeight="1" s="76">
      <c r="A10" s="79" t="inlineStr">
        <is>
          <t>Descriptor variant</t>
        </is>
      </c>
      <c r="B10" s="52" t="inlineStr">
        <is>
          <t>GridWorld
state</t>
        </is>
      </c>
      <c r="C10" s="52" t="inlineStr">
        <is>
          <t>GridWorld
image</t>
        </is>
      </c>
      <c r="D10" s="52" t="inlineStr">
        <is>
          <t>Push-T
state</t>
        </is>
      </c>
      <c r="E10" s="52" t="inlineStr">
        <is>
          <t>Push-T
image</t>
        </is>
      </c>
      <c r="F10" s="52" t="inlineStr">
        <is>
          <t>Lift
state</t>
        </is>
      </c>
      <c r="G10" s="52" t="inlineStr">
        <is>
          <t>Lift
image</t>
        </is>
      </c>
      <c r="H10" s="52" t="inlineStr">
        <is>
          <t>Wipe
state</t>
        </is>
      </c>
      <c r="I10" s="52" t="inlineStr">
        <is>
          <t>Wipe
image</t>
        </is>
      </c>
      <c r="J10" s="52" t="inlineStr">
        <is>
          <t>Door
state</t>
        </is>
      </c>
      <c r="K10" s="52" t="inlineStr">
        <is>
          <t>Door
image</t>
        </is>
      </c>
      <c r="L10" s="79" t="inlineStr">
        <is>
          <t>Note</t>
        </is>
      </c>
    </row>
    <row r="11" ht="72" customHeight="1" s="76">
      <c r="A11" s="55" t="inlineStr">
        <is>
          <t>2-D  — position only [p_x, p_y]</t>
        </is>
      </c>
      <c r="B11" s="56" t="n">
        <v>0.38</v>
      </c>
      <c r="C11" s="56" t="n">
        <v>0.37</v>
      </c>
      <c r="D11" s="56" t="n">
        <v>0.4</v>
      </c>
      <c r="E11" s="56" t="n">
        <v>0.37</v>
      </c>
      <c r="F11" s="56" t="n">
        <v>0.32</v>
      </c>
      <c r="G11" s="56" t="n">
        <v>0.31</v>
      </c>
      <c r="H11" s="56" t="n">
        <v>0.33</v>
      </c>
      <c r="I11" s="56" t="n">
        <v>0.34</v>
      </c>
      <c r="J11" s="56" t="n">
        <v>0.37</v>
      </c>
      <c r="K11" s="56" t="n">
        <v>0.35</v>
      </c>
      <c r="L11" s="57" t="inlineStr">
        <is>
          <t>loses orientation entirely → Push-T modes collapse</t>
        </is>
      </c>
    </row>
    <row r="12" ht="50" customHeight="1" s="76">
      <c r="A12" s="55" t="inlineStr">
        <is>
          <t>4-D  — + orientation (sinθ, cosθ)</t>
        </is>
      </c>
      <c r="B12" s="56" t="n">
        <v>0.51</v>
      </c>
      <c r="C12" s="56" t="n">
        <v>0.49</v>
      </c>
      <c r="D12" s="56" t="n">
        <v>0.54</v>
      </c>
      <c r="E12" s="56" t="n">
        <v>0.52</v>
      </c>
      <c r="F12" s="56" t="n">
        <v>0.44</v>
      </c>
      <c r="G12" s="56" t="n">
        <v>0.42</v>
      </c>
      <c r="H12" s="56" t="n">
        <v>0.48</v>
      </c>
      <c r="I12" s="56" t="n">
        <v>0.46</v>
      </c>
      <c r="J12" s="56" t="n">
        <v>0.5</v>
      </c>
      <c r="K12" s="56" t="n">
        <v>0.49</v>
      </c>
      <c r="L12" s="57" t="inlineStr">
        <is>
          <t>no progress / contact</t>
        </is>
      </c>
    </row>
    <row r="13" ht="50" customHeight="1" s="76">
      <c r="A13" s="55" t="inlineStr">
        <is>
          <t>5-D  — + task progress ρ</t>
        </is>
      </c>
      <c r="B13" s="56" t="n">
        <v>0.57</v>
      </c>
      <c r="C13" s="56" t="n">
        <v>0.54</v>
      </c>
      <c r="D13" s="56" t="n">
        <v>0.6</v>
      </c>
      <c r="E13" s="56" t="n">
        <v>0.5600000000000001</v>
      </c>
      <c r="F13" s="56" t="n">
        <v>0.48</v>
      </c>
      <c r="G13" s="56" t="n">
        <v>0.46</v>
      </c>
      <c r="H13" s="56" t="n">
        <v>0.52</v>
      </c>
      <c r="I13" s="56" t="n">
        <v>0.51</v>
      </c>
      <c r="J13" s="56" t="n">
        <v>0.55</v>
      </c>
      <c r="K13" s="56" t="n">
        <v>0.53</v>
      </c>
      <c r="L13" s="57" t="inlineStr">
        <is>
          <t>no contact distance</t>
        </is>
      </c>
    </row>
    <row r="14" ht="39" customHeight="1" s="76">
      <c r="A14" s="53" t="inlineStr">
        <is>
          <t>6-D  — FULL φ  (paper)</t>
        </is>
      </c>
      <c r="B14" s="58" t="n">
        <v>0.61</v>
      </c>
      <c r="C14" s="58" t="n">
        <v>0.58</v>
      </c>
      <c r="D14" s="58" t="n">
        <v>0.64</v>
      </c>
      <c r="E14" s="58" t="n">
        <v>0.61</v>
      </c>
      <c r="F14" s="58" t="n">
        <v>0.52</v>
      </c>
      <c r="G14" s="58" t="n">
        <v>0.49</v>
      </c>
      <c r="H14" s="58" t="n">
        <v>0.55</v>
      </c>
      <c r="I14" s="58" t="n">
        <v>0.53</v>
      </c>
      <c r="J14" s="58" t="n">
        <v>0.58</v>
      </c>
      <c r="K14" s="58" t="n">
        <v>0.5600000000000001</v>
      </c>
      <c r="L14" s="57" t="inlineStr">
        <is>
          <t>the chosen descriptor</t>
        </is>
      </c>
    </row>
    <row r="15" ht="62.5" customHeight="1" s="76">
      <c r="A15" s="55" t="inlineStr">
        <is>
          <t>8-D  — + end-effector velocity (v_x, v_y)</t>
        </is>
      </c>
      <c r="B15" s="56" t="n">
        <v>0.5600000000000001</v>
      </c>
      <c r="C15" s="56" t="n">
        <v>0.54</v>
      </c>
      <c r="D15" s="56" t="n">
        <v>0.59</v>
      </c>
      <c r="E15" s="56" t="n">
        <v>0.57</v>
      </c>
      <c r="F15" s="56" t="n">
        <v>0.48</v>
      </c>
      <c r="G15" s="56" t="n">
        <v>0.46</v>
      </c>
      <c r="H15" s="56" t="n">
        <v>0.5</v>
      </c>
      <c r="I15" s="56" t="n">
        <v>0.49</v>
      </c>
      <c r="J15" s="56" t="n">
        <v>0.53</v>
      </c>
      <c r="K15" s="56" t="n">
        <v>0.52</v>
      </c>
      <c r="L15" s="57" t="inlineStr">
        <is>
          <t>adds a weakly-informative pair</t>
        </is>
      </c>
    </row>
    <row r="16" ht="50" customHeight="1" s="76">
      <c r="A16" s="55" t="inlineStr">
        <is>
          <t>10-D — + gripper state, z-height</t>
        </is>
      </c>
      <c r="B16" s="56" t="n">
        <v>0.5</v>
      </c>
      <c r="C16" s="56" t="n">
        <v>0.48</v>
      </c>
      <c r="D16" s="56" t="n">
        <v>0.52</v>
      </c>
      <c r="E16" s="56" t="n">
        <v>0.5</v>
      </c>
      <c r="F16" s="56" t="n">
        <v>0.43</v>
      </c>
      <c r="G16" s="56" t="n">
        <v>0.4</v>
      </c>
      <c r="H16" s="56" t="n">
        <v>0.46</v>
      </c>
      <c r="I16" s="56" t="n">
        <v>0.44</v>
      </c>
      <c r="J16" s="56" t="n">
        <v>0.49</v>
      </c>
      <c r="K16" s="56" t="n">
        <v>0.47</v>
      </c>
      <c r="L16" s="57" t="inlineStr">
        <is>
          <t>distances start to concentrate</t>
        </is>
      </c>
    </row>
    <row r="17" ht="60" customHeight="1" s="76">
      <c r="A17" s="55" t="inlineStr">
        <is>
          <t>12-D — + joint-angle summary</t>
        </is>
      </c>
      <c r="B17" s="56" t="n">
        <v>0.44</v>
      </c>
      <c r="C17" s="56" t="n">
        <v>0.42</v>
      </c>
      <c r="D17" s="56" t="n">
        <v>0.46</v>
      </c>
      <c r="E17" s="56" t="n">
        <v>0.42</v>
      </c>
      <c r="F17" s="56" t="n">
        <v>0.37</v>
      </c>
      <c r="G17" s="56" t="n">
        <v>0.34</v>
      </c>
      <c r="H17" s="56" t="n">
        <v>0.39</v>
      </c>
      <c r="I17" s="56" t="n">
        <v>0.37</v>
      </c>
      <c r="J17" s="56" t="n">
        <v>0.42</v>
      </c>
      <c r="K17" s="56" t="n">
        <v>0.39</v>
      </c>
      <c r="L17" s="57" t="inlineStr">
        <is>
          <t>curse of dimensionality — clusters blur</t>
        </is>
      </c>
    </row>
    <row r="19">
      <c r="A19" s="59" t="inlineStr">
        <is>
          <t>⚠ SUPERSEDES the earlier R3M/PCA version of this sheet. The paper's Eq. 7 image branch ('frozen R3M embedding … PCA-reduced to k′') is OUT OF DATE and must be rewritten: clustering is geometric for every run. Deleting that branch also removes the N≤2 PCA edge case and the 'changing PCA dimension' workaround in the cluster-memory paragraph — which buys back page space on a paper already over the 7-page limit.</t>
        </is>
      </c>
    </row>
    <row r="20"/>
    <row r="21"/>
  </sheetData>
  <mergeCells count="6">
    <mergeCell ref="A19:L21"/>
    <mergeCell ref="B8:K8"/>
    <mergeCell ref="B4:K4"/>
    <mergeCell ref="B7:K7"/>
    <mergeCell ref="B6:K6"/>
    <mergeCell ref="B5:K5"/>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18"/>
  <sheetViews>
    <sheetView topLeftCell="A4" workbookViewId="0">
      <selection activeCell="I22" sqref="I22"/>
    </sheetView>
  </sheetViews>
  <sheetFormatPr baseColWidth="8" defaultRowHeight="14.5"/>
  <cols>
    <col width="14.36328125" bestFit="1" customWidth="1" style="76" min="3" max="3"/>
    <col width="11.36328125" bestFit="1" customWidth="1" style="76" min="4" max="4"/>
    <col width="11.6328125" bestFit="1" customWidth="1" style="76" min="5" max="5"/>
    <col width="14.36328125" bestFit="1" customWidth="1" style="76" min="6" max="6"/>
    <col width="11.36328125" bestFit="1" customWidth="1" style="76" min="7" max="7"/>
    <col width="11.6328125" bestFit="1" customWidth="1" style="76" min="8" max="8"/>
    <col width="14.36328125" bestFit="1" customWidth="1" style="76" min="9" max="9"/>
    <col width="11.36328125" bestFit="1" customWidth="1" style="76" min="10" max="10"/>
    <col width="11.6328125" bestFit="1" customWidth="1" style="76" min="11" max="11"/>
  </cols>
  <sheetData>
    <row r="1" ht="18" customHeight="1" s="76">
      <c r="A1" s="77" t="inlineStr">
        <is>
          <t>A11 — Budget sweep  B ∈ {10, 20, 40} — all 10 cells</t>
        </is>
      </c>
    </row>
    <row r="2">
      <c r="A2" s="78" t="inlineStr">
        <is>
          <t>Backs the 'framework, not a 20-demo instance' reframing. B=20 column = the paper's Table 1 values (anchor).</t>
        </is>
      </c>
    </row>
    <row r="4" ht="26" customHeight="1" s="76">
      <c r="A4" s="82" t="inlineStr">
        <is>
          <t>What is ablated</t>
        </is>
      </c>
      <c r="B4" s="47" t="inlineStr">
        <is>
          <t>The hard budget B is varied; every method gets the same B. B=20 reproduces Table 1 exactly.</t>
        </is>
      </c>
    </row>
    <row r="5" ht="52" customHeight="1" s="76">
      <c r="A5" s="82" t="inlineStr">
        <is>
          <t>Hypothesis (what should happen)</t>
        </is>
      </c>
      <c r="B5" s="47" t="inlineStr">
        <is>
          <t>DISTIL's margin should be LARGEST at B=10 (allocation matters most when demos are scarce) and SHRINK by B=40 as everyone saturates. The headline you want: DISTIL at B=10 ≈ best baseline at B=20 — the same policy for HALF the expert labour.</t>
        </is>
      </c>
    </row>
    <row r="6" ht="52" customHeight="1" s="76">
      <c r="A6" s="82" t="inlineStr">
        <is>
          <t>If the gap is ~0, it means</t>
        </is>
      </c>
      <c r="B6" s="47" t="inlineStr">
        <is>
          <t>If DISTIL only wins at B=20, the budget-agnostic framework claim collapses. If the margin does NOT widen at B=10, that is genuinely bad news — find out now.</t>
        </is>
      </c>
    </row>
    <row r="8">
      <c r="A8" s="79" t="inlineStr">
        <is>
          <t>Task</t>
        </is>
      </c>
      <c r="B8" s="79" t="inlineStr">
        <is>
          <t>Obs</t>
        </is>
      </c>
      <c r="C8" s="79" t="inlineStr">
        <is>
          <t>Best base B=10</t>
        </is>
      </c>
      <c r="D8" s="79" t="inlineStr">
        <is>
          <t>DISTIL B=10</t>
        </is>
      </c>
      <c r="E8" s="79" t="inlineStr">
        <is>
          <t>Margin B=10</t>
        </is>
      </c>
      <c r="F8" s="79" t="inlineStr">
        <is>
          <t>Best base B=20</t>
        </is>
      </c>
      <c r="G8" s="79" t="inlineStr">
        <is>
          <t>DISTIL B=20</t>
        </is>
      </c>
      <c r="H8" s="79" t="inlineStr">
        <is>
          <t>Margin B=20</t>
        </is>
      </c>
      <c r="I8" s="79" t="inlineStr">
        <is>
          <t>Best base B=40</t>
        </is>
      </c>
      <c r="J8" s="79" t="inlineStr">
        <is>
          <t>DISTIL B=40</t>
        </is>
      </c>
      <c r="K8" s="79" t="inlineStr">
        <is>
          <t>Margin B=40</t>
        </is>
      </c>
    </row>
    <row r="9">
      <c r="A9" s="81" t="inlineStr">
        <is>
          <t>GridWorld 5x5</t>
        </is>
      </c>
      <c r="B9" s="80" t="inlineStr">
        <is>
          <t>state</t>
        </is>
      </c>
      <c r="C9" s="83" t="n">
        <v>78</v>
      </c>
      <c r="D9" s="84" t="n">
        <v>85.40000000000001</v>
      </c>
      <c r="E9" s="63">
        <f>D9-C9</f>
        <v/>
      </c>
      <c r="F9" s="83" t="n">
        <v>86.8</v>
      </c>
      <c r="G9" s="84" t="n">
        <v>89.90000000000001</v>
      </c>
      <c r="H9" s="63">
        <f>G9-F9</f>
        <v/>
      </c>
      <c r="I9" s="83" t="n">
        <v>92.2</v>
      </c>
      <c r="J9" s="84" t="n">
        <v>94.09999999999999</v>
      </c>
      <c r="K9" s="63">
        <f>J9-I9</f>
        <v/>
      </c>
    </row>
    <row r="10">
      <c r="A10" s="81" t="inlineStr">
        <is>
          <t>GridWorld 5x5</t>
        </is>
      </c>
      <c r="B10" s="80" t="inlineStr">
        <is>
          <t>image</t>
        </is>
      </c>
      <c r="C10" s="83" t="n">
        <v>79.09999999999999</v>
      </c>
      <c r="D10" s="84" t="n">
        <v>85.09999999999999</v>
      </c>
      <c r="E10" s="63">
        <f>D10-C10</f>
        <v/>
      </c>
      <c r="F10" s="83" t="n">
        <v>87.09999999999999</v>
      </c>
      <c r="G10" s="84" t="n">
        <v>89.59999999999999</v>
      </c>
      <c r="H10" s="63">
        <f>G10-F10</f>
        <v/>
      </c>
      <c r="I10" s="83" t="n">
        <v>92.5</v>
      </c>
      <c r="J10" s="84" t="n">
        <v>94</v>
      </c>
      <c r="K10" s="63">
        <f>J10-I10</f>
        <v/>
      </c>
    </row>
    <row r="11">
      <c r="A11" s="81" t="inlineStr">
        <is>
          <t>Push-T</t>
        </is>
      </c>
      <c r="B11" s="80" t="inlineStr">
        <is>
          <t>state</t>
        </is>
      </c>
      <c r="C11" s="83" t="n">
        <v>75.5</v>
      </c>
      <c r="D11" s="84" t="n">
        <v>87.90000000000001</v>
      </c>
      <c r="E11" s="63">
        <f>D11-C11</f>
        <v/>
      </c>
      <c r="F11" s="83" t="n">
        <v>90.7</v>
      </c>
      <c r="G11" s="84" t="n">
        <v>96.09999999999999</v>
      </c>
      <c r="H11" s="63">
        <f>G11-F11</f>
        <v/>
      </c>
      <c r="I11" s="83" t="n">
        <v>94.5</v>
      </c>
      <c r="J11" s="84" t="n">
        <v>97.7</v>
      </c>
      <c r="K11" s="63">
        <f>J11-I11</f>
        <v/>
      </c>
    </row>
    <row r="12">
      <c r="A12" s="81" t="inlineStr">
        <is>
          <t>Push-T</t>
        </is>
      </c>
      <c r="B12" s="80" t="inlineStr">
        <is>
          <t>image</t>
        </is>
      </c>
      <c r="C12" s="83" t="n">
        <v>75.09999999999999</v>
      </c>
      <c r="D12" s="84" t="n">
        <v>86.09999999999999</v>
      </c>
      <c r="E12" s="63">
        <f>D12-C12</f>
        <v/>
      </c>
      <c r="F12" s="83" t="n">
        <v>89</v>
      </c>
      <c r="G12" s="84" t="n">
        <v>93.90000000000001</v>
      </c>
      <c r="H12" s="63">
        <f>G12-F12</f>
        <v/>
      </c>
      <c r="I12" s="83" t="n">
        <v>93.59999999999999</v>
      </c>
      <c r="J12" s="84" t="n">
        <v>96.5</v>
      </c>
      <c r="K12" s="63">
        <f>J12-I12</f>
        <v/>
      </c>
    </row>
    <row r="13">
      <c r="A13" s="81" t="inlineStr">
        <is>
          <t>Lift</t>
        </is>
      </c>
      <c r="B13" s="80" t="inlineStr">
        <is>
          <t>state</t>
        </is>
      </c>
      <c r="C13" s="83" t="n">
        <v>96.8</v>
      </c>
      <c r="D13" s="84" t="n">
        <v>100</v>
      </c>
      <c r="E13" s="63">
        <f>D13-C13</f>
        <v/>
      </c>
      <c r="F13" s="83" t="n">
        <v>99.2</v>
      </c>
      <c r="G13" s="84" t="n">
        <v>100</v>
      </c>
      <c r="H13" s="63">
        <f>G13-F13</f>
        <v/>
      </c>
      <c r="I13" s="83" t="n">
        <v>100</v>
      </c>
      <c r="J13" s="84" t="n">
        <v>100</v>
      </c>
      <c r="K13" s="63">
        <f>J13-I13</f>
        <v/>
      </c>
    </row>
    <row r="14">
      <c r="A14" s="81" t="inlineStr">
        <is>
          <t>Lift</t>
        </is>
      </c>
      <c r="B14" s="80" t="inlineStr">
        <is>
          <t>image</t>
        </is>
      </c>
      <c r="C14" s="83" t="n">
        <v>97.59999999999999</v>
      </c>
      <c r="D14" s="84" t="n">
        <v>100</v>
      </c>
      <c r="E14" s="63">
        <f>D14-C14</f>
        <v/>
      </c>
      <c r="F14" s="83" t="n">
        <v>99.59999999999999</v>
      </c>
      <c r="G14" s="84" t="n">
        <v>100</v>
      </c>
      <c r="H14" s="63">
        <f>G14-F14</f>
        <v/>
      </c>
      <c r="I14" s="83" t="n">
        <v>100</v>
      </c>
      <c r="J14" s="84" t="n">
        <v>100</v>
      </c>
      <c r="K14" s="63">
        <f>J14-I14</f>
        <v/>
      </c>
    </row>
    <row r="15">
      <c r="A15" s="81" t="inlineStr">
        <is>
          <t>Wipe</t>
        </is>
      </c>
      <c r="B15" s="80" t="inlineStr">
        <is>
          <t>state</t>
        </is>
      </c>
      <c r="C15" s="83" t="n">
        <v>75</v>
      </c>
      <c r="D15" s="84" t="n">
        <v>86</v>
      </c>
      <c r="E15" s="63">
        <f>D15-C15</f>
        <v/>
      </c>
      <c r="F15" s="83" t="n">
        <v>90.8</v>
      </c>
      <c r="G15" s="84" t="n">
        <v>95.5</v>
      </c>
      <c r="H15" s="63">
        <f>G15-F15</f>
        <v/>
      </c>
      <c r="I15" s="83" t="n">
        <v>94.59999999999999</v>
      </c>
      <c r="J15" s="84" t="n">
        <v>97.40000000000001</v>
      </c>
      <c r="K15" s="63">
        <f>J15-I15</f>
        <v/>
      </c>
    </row>
    <row r="16">
      <c r="A16" s="81" t="inlineStr">
        <is>
          <t>Wipe</t>
        </is>
      </c>
      <c r="B16" s="80" t="inlineStr">
        <is>
          <t>image</t>
        </is>
      </c>
      <c r="C16" s="83" t="n">
        <v>72.5</v>
      </c>
      <c r="D16" s="84" t="n">
        <v>85.5</v>
      </c>
      <c r="E16" s="63">
        <f>D16-C16</f>
        <v/>
      </c>
      <c r="F16" s="83" t="n">
        <v>89.59999999999999</v>
      </c>
      <c r="G16" s="84" t="n">
        <v>95.3</v>
      </c>
      <c r="H16" s="63">
        <f>G16-F16</f>
        <v/>
      </c>
      <c r="I16" s="83" t="n">
        <v>93.90000000000001</v>
      </c>
      <c r="J16" s="84" t="n">
        <v>97.3</v>
      </c>
      <c r="K16" s="63">
        <f>J16-I16</f>
        <v/>
      </c>
    </row>
    <row r="17">
      <c r="A17" s="81" t="inlineStr">
        <is>
          <t>Door</t>
        </is>
      </c>
      <c r="B17" s="80" t="inlineStr">
        <is>
          <t>state</t>
        </is>
      </c>
      <c r="C17" s="83" t="n">
        <v>84.5</v>
      </c>
      <c r="D17" s="84" t="n">
        <v>92</v>
      </c>
      <c r="E17" s="63">
        <f>D17-C17</f>
        <v/>
      </c>
      <c r="F17" s="83" t="n">
        <v>95.2</v>
      </c>
      <c r="G17" s="84" t="n">
        <v>98.40000000000001</v>
      </c>
      <c r="H17" s="63">
        <f>G17-F17</f>
        <v/>
      </c>
      <c r="I17" s="83" t="n">
        <v>97.2</v>
      </c>
      <c r="J17" s="84" t="n">
        <v>99.09999999999999</v>
      </c>
      <c r="K17" s="63">
        <f>J17-I17</f>
        <v/>
      </c>
    </row>
    <row r="18">
      <c r="A18" s="81" t="inlineStr">
        <is>
          <t>Door</t>
        </is>
      </c>
      <c r="B18" s="80" t="inlineStr">
        <is>
          <t>image</t>
        </is>
      </c>
      <c r="C18" s="83" t="n">
        <v>78.40000000000001</v>
      </c>
      <c r="D18" s="84" t="n">
        <v>92.90000000000001</v>
      </c>
      <c r="E18" s="63">
        <f>D18-C18</f>
        <v/>
      </c>
      <c r="F18" s="83" t="n">
        <v>92.8</v>
      </c>
      <c r="G18" s="84" t="n">
        <v>99.2</v>
      </c>
      <c r="H18" s="63">
        <f>G18-F18</f>
        <v/>
      </c>
      <c r="I18" s="83" t="n">
        <v>95.7</v>
      </c>
      <c r="J18" s="84" t="n">
        <v>99.5</v>
      </c>
      <c r="K18" s="63">
        <f>J18-I18</f>
        <v/>
      </c>
    </row>
  </sheetData>
  <mergeCells count="3">
    <mergeCell ref="B5:G5"/>
    <mergeCell ref="B4:G4"/>
    <mergeCell ref="B6:G6"/>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18"/>
  <sheetViews>
    <sheetView workbookViewId="0">
      <selection activeCell="I9" sqref="I9"/>
    </sheetView>
  </sheetViews>
  <sheetFormatPr baseColWidth="8" defaultRowHeight="14.5"/>
  <cols>
    <col width="10.6328125" bestFit="1" customWidth="1" style="76" min="7" max="7"/>
  </cols>
  <sheetData>
    <row r="1" ht="18" customHeight="1" s="76">
      <c r="A1" s="77" t="inlineStr">
        <is>
          <t>A12 — Demonstrations per round  D ∈ {1, 2, 3} — all 10 cells</t>
        </is>
      </c>
    </row>
    <row r="2">
      <c r="A2" s="78" t="inlineStr">
        <is>
          <t>Tests the D=1 commitment (flagged in review and in your own Limitations). Total budget held at B=20.</t>
        </is>
      </c>
    </row>
    <row r="4" ht="26" customHeight="1" s="76">
      <c r="A4" s="82" t="inlineStr">
        <is>
          <t>What is ablated</t>
        </is>
      </c>
      <c r="B4" s="47" t="inlineStr">
        <is>
          <t>Prescribe D demonstrations per round instead of one, holding B=20 fixed — so D=2 gives 10 rounds, D=3 gives ~7 rounds.</t>
        </is>
      </c>
    </row>
    <row r="5" ht="52" customHeight="1" s="76">
      <c r="A5" s="82" t="inlineStr">
        <is>
          <t>Hypothesis (what should happen)</t>
        </is>
      </c>
      <c r="B5" s="47" t="inlineStr">
        <is>
          <t>D=1 should win at fixed budget: more rounds = more re-analysis of a freshly retrained policy = finer allocation. D=2/3 converge faster per round but lower final SR.</t>
        </is>
      </c>
    </row>
    <row r="6" ht="52" customHeight="1" s="76">
      <c r="A6" s="82" t="inlineStr">
        <is>
          <t>If the gap is ~0, it means</t>
        </is>
      </c>
      <c r="B6" s="47" t="inlineStr">
        <is>
          <t>If D=3 matches D=1, the one-demo-per-round design is arbitrary and you should either generalize to D or justify the choice.</t>
        </is>
      </c>
    </row>
    <row r="8">
      <c r="A8" s="79" t="inlineStr">
        <is>
          <t>Task</t>
        </is>
      </c>
      <c r="B8" s="79" t="inlineStr">
        <is>
          <t>Obs</t>
        </is>
      </c>
      <c r="C8" s="79" t="inlineStr">
        <is>
          <t>Rounds @D=1</t>
        </is>
      </c>
      <c r="D8" s="79" t="inlineStr">
        <is>
          <t>D = 1</t>
        </is>
      </c>
      <c r="E8" s="79" t="inlineStr">
        <is>
          <t>D = 2</t>
        </is>
      </c>
      <c r="F8" s="79" t="inlineStr">
        <is>
          <t>D = 3</t>
        </is>
      </c>
      <c r="G8" s="79" t="inlineStr">
        <is>
          <t>Δ (D3 − D1)</t>
        </is>
      </c>
    </row>
    <row r="9">
      <c r="A9" s="81" t="inlineStr">
        <is>
          <t>GridWorld 5x5</t>
        </is>
      </c>
      <c r="B9" s="80" t="inlineStr">
        <is>
          <t>state</t>
        </is>
      </c>
      <c r="C9" s="80" t="n">
        <v>20</v>
      </c>
      <c r="D9" s="54" t="inlineStr">
        <is>
          <t>89.9 ± 1.3</t>
        </is>
      </c>
      <c r="E9" s="80" t="inlineStr">
        <is>
          <t>89.2 ± 1.6</t>
        </is>
      </c>
      <c r="F9" s="80" t="inlineStr">
        <is>
          <t>89.0 ± 1.4</t>
        </is>
      </c>
      <c r="G9" s="63" t="n">
        <v>-0.9</v>
      </c>
    </row>
    <row r="10">
      <c r="A10" s="81" t="inlineStr">
        <is>
          <t>GridWorld 5x5</t>
        </is>
      </c>
      <c r="B10" s="80" t="inlineStr">
        <is>
          <t>image</t>
        </is>
      </c>
      <c r="C10" s="80" t="n">
        <v>20</v>
      </c>
      <c r="D10" s="54" t="inlineStr">
        <is>
          <t>89.6 ± 1.8</t>
        </is>
      </c>
      <c r="E10" s="80" t="inlineStr">
        <is>
          <t>89.2 ± 1.9</t>
        </is>
      </c>
      <c r="F10" s="80" t="inlineStr">
        <is>
          <t>88.9 ± 2.1</t>
        </is>
      </c>
      <c r="G10" s="63" t="n">
        <v>-0.7</v>
      </c>
    </row>
    <row r="11">
      <c r="A11" s="81" t="inlineStr">
        <is>
          <t>Push-T</t>
        </is>
      </c>
      <c r="B11" s="80" t="inlineStr">
        <is>
          <t>state</t>
        </is>
      </c>
      <c r="C11" s="80" t="n">
        <v>20</v>
      </c>
      <c r="D11" s="54" t="inlineStr">
        <is>
          <t>96.1 ± 4.5</t>
        </is>
      </c>
      <c r="E11" s="80" t="inlineStr">
        <is>
          <t>95.3 ± 4.9</t>
        </is>
      </c>
      <c r="F11" s="80" t="inlineStr">
        <is>
          <t>94.2 ± 5.5</t>
        </is>
      </c>
      <c r="G11" s="63" t="n">
        <v>-1.9</v>
      </c>
    </row>
    <row r="12">
      <c r="A12" s="81" t="inlineStr">
        <is>
          <t>Push-T</t>
        </is>
      </c>
      <c r="B12" s="80" t="inlineStr">
        <is>
          <t>image</t>
        </is>
      </c>
      <c r="C12" s="80" t="n">
        <v>20</v>
      </c>
      <c r="D12" s="54" t="inlineStr">
        <is>
          <t>93.9 ± 4.9</t>
        </is>
      </c>
      <c r="E12" s="80" t="inlineStr">
        <is>
          <t>93.0 ± 4.9</t>
        </is>
      </c>
      <c r="F12" s="80" t="inlineStr">
        <is>
          <t>92.3 ± 5.7</t>
        </is>
      </c>
      <c r="G12" s="63" t="n">
        <v>-1.6</v>
      </c>
    </row>
    <row r="13">
      <c r="A13" s="81" t="inlineStr">
        <is>
          <t>Lift</t>
        </is>
      </c>
      <c r="B13" s="80" t="inlineStr">
        <is>
          <t>state</t>
        </is>
      </c>
      <c r="C13" s="80" t="n">
        <v>20</v>
      </c>
      <c r="D13" s="54" t="inlineStr">
        <is>
          <t>100.0 ± 0.0</t>
        </is>
      </c>
      <c r="E13" s="80" t="inlineStr">
        <is>
          <t>99.9 ± 0.9</t>
        </is>
      </c>
      <c r="F13" s="80" t="inlineStr">
        <is>
          <t>99.5 ± 0.5</t>
        </is>
      </c>
      <c r="G13" s="63" t="n">
        <v>-0.5</v>
      </c>
    </row>
    <row r="14">
      <c r="A14" s="81" t="inlineStr">
        <is>
          <t>Lift</t>
        </is>
      </c>
      <c r="B14" s="80" t="inlineStr">
        <is>
          <t>image</t>
        </is>
      </c>
      <c r="C14" s="80" t="n">
        <v>20</v>
      </c>
      <c r="D14" s="54" t="inlineStr">
        <is>
          <t>100.0 ± 0.0</t>
        </is>
      </c>
      <c r="E14" s="80" t="inlineStr">
        <is>
          <t>99.9 ± 0.8</t>
        </is>
      </c>
      <c r="F14" s="80" t="inlineStr">
        <is>
          <t>99.9 ± 0.7</t>
        </is>
      </c>
      <c r="G14" s="63" t="n">
        <v>-0.1</v>
      </c>
    </row>
    <row r="15">
      <c r="A15" s="81" t="inlineStr">
        <is>
          <t>Wipe</t>
        </is>
      </c>
      <c r="B15" s="80" t="inlineStr">
        <is>
          <t>state</t>
        </is>
      </c>
      <c r="C15" s="80" t="n">
        <v>20</v>
      </c>
      <c r="D15" s="54" t="inlineStr">
        <is>
          <t>95.5 ± 6.0</t>
        </is>
      </c>
      <c r="E15" s="80" t="inlineStr">
        <is>
          <t>94.8 ± 6.1</t>
        </is>
      </c>
      <c r="F15" s="80" t="inlineStr">
        <is>
          <t>93.9 ± 6.9</t>
        </is>
      </c>
      <c r="G15" s="63" t="n">
        <v>-1.6</v>
      </c>
    </row>
    <row r="16">
      <c r="A16" s="81" t="inlineStr">
        <is>
          <t>Wipe</t>
        </is>
      </c>
      <c r="B16" s="80" t="inlineStr">
        <is>
          <t>image</t>
        </is>
      </c>
      <c r="C16" s="80" t="n">
        <v>20</v>
      </c>
      <c r="D16" s="54" t="inlineStr">
        <is>
          <t>95.3 ± 3.2</t>
        </is>
      </c>
      <c r="E16" s="80" t="inlineStr">
        <is>
          <t>94.2 ± 3.9</t>
        </is>
      </c>
      <c r="F16" s="80" t="inlineStr">
        <is>
          <t>93.1 ± 3.5</t>
        </is>
      </c>
      <c r="G16" s="63" t="n">
        <v>-2.2</v>
      </c>
    </row>
    <row r="17">
      <c r="A17" s="81" t="inlineStr">
        <is>
          <t>Door</t>
        </is>
      </c>
      <c r="B17" s="80" t="inlineStr">
        <is>
          <t>state</t>
        </is>
      </c>
      <c r="C17" s="80" t="n">
        <v>20</v>
      </c>
      <c r="D17" s="54" t="inlineStr">
        <is>
          <t>98.4 ± 4.2</t>
        </is>
      </c>
      <c r="E17" s="80" t="inlineStr">
        <is>
          <t>97.6 ± 5.1</t>
        </is>
      </c>
      <c r="F17" s="80" t="inlineStr">
        <is>
          <t>97.1 ± 4.6</t>
        </is>
      </c>
      <c r="G17" s="63" t="n">
        <v>-1.3</v>
      </c>
    </row>
    <row r="18">
      <c r="A18" s="81" t="inlineStr">
        <is>
          <t>Door</t>
        </is>
      </c>
      <c r="B18" s="80" t="inlineStr">
        <is>
          <t>image</t>
        </is>
      </c>
      <c r="C18" s="80" t="n">
        <v>20</v>
      </c>
      <c r="D18" s="54" t="inlineStr">
        <is>
          <t>99.2 ± 3.4</t>
        </is>
      </c>
      <c r="E18" s="80" t="inlineStr">
        <is>
          <t>97.8 ± 4.2</t>
        </is>
      </c>
      <c r="F18" s="80" t="inlineStr">
        <is>
          <t>97.1 ± 3.6</t>
        </is>
      </c>
      <c r="G18" s="63" t="n">
        <v>-2.1</v>
      </c>
    </row>
  </sheetData>
  <mergeCells count="3">
    <mergeCell ref="B5:G5"/>
    <mergeCell ref="B4:G4"/>
    <mergeCell ref="B6:G6"/>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93"/>
  <sheetViews>
    <sheetView tabSelected="1" topLeftCell="A55" workbookViewId="0">
      <selection activeCell="H82" sqref="H82"/>
    </sheetView>
  </sheetViews>
  <sheetFormatPr baseColWidth="8" defaultRowHeight="14.5"/>
  <cols>
    <col width="16.54296875" bestFit="1" customWidth="1" style="76" min="8" max="8"/>
    <col width="17.90625" bestFit="1" customWidth="1" style="76" min="9" max="9"/>
  </cols>
  <sheetData>
    <row r="1" ht="18" customHeight="1" s="76">
      <c r="A1" s="77" t="inlineStr">
        <is>
          <t>A13 — Memory-constant sensitivity (γ, σ, λ) — all 10 cells</t>
        </is>
      </c>
    </row>
    <row r="2">
      <c r="A2" s="78" t="inlineStr">
        <is>
          <t>Each block reports final SR (%), then SPREAD across the sweep vs PAIRED-SEED NOISE, and a verdict: is the knob LIVE or INERT on that cell?</t>
        </is>
      </c>
    </row>
    <row r="4" ht="42.5" customHeight="1" s="76">
      <c r="A4" s="82" t="inlineStr">
        <is>
          <t>What is ablated</t>
        </is>
      </c>
      <c r="B4" s="47" t="inlineStr">
        <is>
          <t>Each constant of Eq. 9 is swept one at a time, all others held at their paper value (γ=0.6, σ=0.06, λ=1).</t>
        </is>
      </c>
    </row>
    <row r="5" ht="57.5" customHeight="1" s="76">
      <c r="A5" s="82" t="inlineStr">
        <is>
          <t>How to read it</t>
        </is>
      </c>
      <c r="B5" s="47" t="inlineStr">
        <is>
          <t>'Flat' does NOT mean identical numbers — different constants change which demos get collected, so some wobble is inevitable. The test is SPREAD (max−min across the sweep) vs PAIRED-SEED NOISE. Spread &lt; noise ⇒ the knob is INERT on that cell.</t>
        </is>
      </c>
    </row>
    <row r="6" ht="130" customHeight="1" s="76">
      <c r="A6" s="82" t="inlineStr">
        <is>
          <t>σ — why three cells are INERT, for THREE DIFFERENT REASONS</t>
        </is>
      </c>
      <c r="B6" s="47" t="inlineStr">
        <is>
          <t>GridWorld: centroids are in grid-cell units, so even σ=0.20 gives exp(−1/(2·0.04)) ≈ 4e−6 for adjacent cells — an identical-centroid check at EVERY swept σ. Truly inert. · Door: reset range ±0.013 m, so typical centroid separation ≈0.01 m; even σ=0.02 gives exp(−0.125)≈0.88, still saturated. You would need σ≈0.005. Inert across the SWEPT range. · Lift: the kernel actually DOES come alive at σ=0.02 (reset ±0.03 m ⇒ exp(−0.78)≈0.46, real discrimination) — but DISTIL is at 100.0 ± 0.0, so nothing is VISIBLE. Flat by CEILING, not by kernel degeneracy.</t>
        </is>
      </c>
    </row>
    <row r="7" ht="65" customHeight="1" s="76">
      <c r="A7" s="82" t="inlineStr">
        <is>
          <t>⚠ Lift is uninformative for EVERY ablation</t>
        </is>
      </c>
      <c r="B7" s="47" t="inlineStr">
        <is>
          <t>100.0 ± 0.0 means no headroom and no variance. Do not read a null result on Lift as evidence about any mechanism, on this sheet or any other.</t>
        </is>
      </c>
    </row>
    <row r="8" ht="52" customHeight="1" s="76">
      <c r="A8" s="82" t="inlineStr">
        <is>
          <t>The finding hiding here</t>
        </is>
      </c>
      <c r="B8" s="47" t="inlineStr">
        <is>
          <t>If σ=0.02 makes the kernel live on Lift, then σ=0.06 is MIS-SCALED for the narrow-reset tasks. A per-task σ (a fraction of each task's reset range) would make the memory function everywhere. You currently frame 'the same constants unchanged on every task' as a virtue — a reviewer can reframe it as a bug.</t>
        </is>
      </c>
    </row>
    <row r="10">
      <c r="A10" s="85" t="inlineStr">
        <is>
          <t>γ  (recency discount)  — paper value 0.6</t>
        </is>
      </c>
    </row>
    <row r="11">
      <c r="A11" s="79" t="inlineStr">
        <is>
          <t>Task</t>
        </is>
      </c>
      <c r="B11" s="79" t="inlineStr">
        <is>
          <t>Obs</t>
        </is>
      </c>
      <c r="C11" s="79" t="inlineStr">
        <is>
          <t>0.3</t>
        </is>
      </c>
      <c r="D11" s="79" t="inlineStr">
        <is>
          <t>0.5</t>
        </is>
      </c>
      <c r="E11" s="79" t="inlineStr">
        <is>
          <t>0.6</t>
        </is>
      </c>
      <c r="F11" s="79" t="inlineStr">
        <is>
          <t>0.7</t>
        </is>
      </c>
      <c r="G11" s="79" t="inlineStr">
        <is>
          <t>0.9</t>
        </is>
      </c>
      <c r="H11" s="79" t="inlineStr">
        <is>
          <t>Spread (max−min)</t>
        </is>
      </c>
      <c r="I11" s="79" t="n"/>
      <c r="J11" s="79" t="n"/>
    </row>
    <row r="12">
      <c r="A12" s="81" t="inlineStr">
        <is>
          <t>GridWorld 5x5</t>
        </is>
      </c>
      <c r="B12" s="80" t="inlineStr">
        <is>
          <t>state</t>
        </is>
      </c>
      <c r="C12" s="83" t="n">
        <v>89.09999999999999</v>
      </c>
      <c r="D12" s="83" t="n">
        <v>89.8</v>
      </c>
      <c r="E12" s="84" t="n">
        <v>89.90000000000001</v>
      </c>
      <c r="F12" s="83" t="n">
        <v>89.8</v>
      </c>
      <c r="G12" s="83" t="n">
        <v>88.8</v>
      </c>
      <c r="H12" s="83">
        <f>MAX(C12:G12)-MIN(C12:G12)</f>
        <v/>
      </c>
      <c r="I12" s="83" t="n"/>
      <c r="J12" s="80" t="n"/>
    </row>
    <row r="13">
      <c r="A13" s="81" t="inlineStr">
        <is>
          <t>GridWorld 5x5</t>
        </is>
      </c>
      <c r="B13" s="80" t="inlineStr">
        <is>
          <t>image</t>
        </is>
      </c>
      <c r="C13" s="83" t="n">
        <v>88.59999999999999</v>
      </c>
      <c r="D13" s="83" t="n">
        <v>89.5</v>
      </c>
      <c r="E13" s="84" t="n">
        <v>89.59999999999999</v>
      </c>
      <c r="F13" s="83" t="n">
        <v>89.5</v>
      </c>
      <c r="G13" s="83" t="n">
        <v>88.7</v>
      </c>
      <c r="H13" s="83">
        <f>MAX(C13:G13)-MIN(C13:G13)</f>
        <v/>
      </c>
      <c r="I13" s="83" t="n"/>
      <c r="J13" s="80" t="n"/>
    </row>
    <row r="14">
      <c r="A14" s="81" t="inlineStr">
        <is>
          <t>Push-T</t>
        </is>
      </c>
      <c r="B14" s="80" t="inlineStr">
        <is>
          <t>state</t>
        </is>
      </c>
      <c r="C14" s="83" t="n">
        <v>94.59999999999999</v>
      </c>
      <c r="D14" s="83" t="n">
        <v>95.8</v>
      </c>
      <c r="E14" s="84" t="n">
        <v>96.09999999999999</v>
      </c>
      <c r="F14" s="83" t="n">
        <v>95.7</v>
      </c>
      <c r="G14" s="83" t="n">
        <v>94.5</v>
      </c>
      <c r="H14" s="83">
        <f>MAX(C14:G14)-MIN(C14:G14)</f>
        <v/>
      </c>
      <c r="I14" s="83" t="n"/>
      <c r="J14" s="80" t="n"/>
    </row>
    <row r="15">
      <c r="A15" s="81" t="inlineStr">
        <is>
          <t>Push-T</t>
        </is>
      </c>
      <c r="B15" s="80" t="inlineStr">
        <is>
          <t>image</t>
        </is>
      </c>
      <c r="C15" s="83" t="n">
        <v>92.3</v>
      </c>
      <c r="D15" s="83" t="n">
        <v>93.5</v>
      </c>
      <c r="E15" s="84" t="n">
        <v>93.90000000000001</v>
      </c>
      <c r="F15" s="83" t="n">
        <v>93.8</v>
      </c>
      <c r="G15" s="83" t="n">
        <v>92.3</v>
      </c>
      <c r="H15" s="83">
        <f>MAX(C15:G15)-MIN(C15:G15)</f>
        <v/>
      </c>
      <c r="I15" s="83" t="n"/>
      <c r="J15" s="80" t="n"/>
    </row>
    <row r="16">
      <c r="A16" s="81" t="inlineStr">
        <is>
          <t>Lift</t>
        </is>
      </c>
      <c r="B16" s="80" t="inlineStr">
        <is>
          <t>state</t>
        </is>
      </c>
      <c r="C16" s="83" t="n">
        <v>100</v>
      </c>
      <c r="D16" s="83" t="n">
        <v>99.90000000000001</v>
      </c>
      <c r="E16" s="84" t="n">
        <v>100</v>
      </c>
      <c r="F16" s="83" t="n">
        <v>99.8</v>
      </c>
      <c r="G16" s="83" t="n">
        <v>99.5</v>
      </c>
      <c r="H16" s="83">
        <f>MAX(C16:G16)-MIN(C16:G16)</f>
        <v/>
      </c>
      <c r="I16" s="83" t="n"/>
      <c r="J16" s="80" t="n"/>
    </row>
    <row r="17">
      <c r="A17" s="81" t="inlineStr">
        <is>
          <t>Lift</t>
        </is>
      </c>
      <c r="B17" s="80" t="inlineStr">
        <is>
          <t>image</t>
        </is>
      </c>
      <c r="C17" s="83" t="n">
        <v>99</v>
      </c>
      <c r="D17" s="83" t="n">
        <v>100</v>
      </c>
      <c r="E17" s="84" t="n">
        <v>100</v>
      </c>
      <c r="F17" s="83" t="n">
        <v>99.8</v>
      </c>
      <c r="G17" s="83" t="n">
        <v>99.59999999999999</v>
      </c>
      <c r="H17" s="83">
        <f>MAX(C17:G17)-MIN(C17:G17)</f>
        <v/>
      </c>
      <c r="I17" s="83" t="n"/>
      <c r="J17" s="80" t="n"/>
    </row>
    <row r="18">
      <c r="A18" s="81" t="inlineStr">
        <is>
          <t>Wipe</t>
        </is>
      </c>
      <c r="B18" s="80" t="inlineStr">
        <is>
          <t>state</t>
        </is>
      </c>
      <c r="C18" s="83" t="n">
        <v>94.2</v>
      </c>
      <c r="D18" s="83" t="n">
        <v>95.2</v>
      </c>
      <c r="E18" s="84" t="n">
        <v>95.5</v>
      </c>
      <c r="F18" s="83" t="n">
        <v>95.2</v>
      </c>
      <c r="G18" s="83" t="n">
        <v>94</v>
      </c>
      <c r="H18" s="83">
        <f>MAX(C18:G18)-MIN(C18:G18)</f>
        <v/>
      </c>
      <c r="I18" s="83" t="n"/>
      <c r="J18" s="80" t="n"/>
    </row>
    <row r="19">
      <c r="A19" s="81" t="inlineStr">
        <is>
          <t>Wipe</t>
        </is>
      </c>
      <c r="B19" s="80" t="inlineStr">
        <is>
          <t>image</t>
        </is>
      </c>
      <c r="C19" s="83" t="n">
        <v>93.7</v>
      </c>
      <c r="D19" s="83" t="n">
        <v>94.7</v>
      </c>
      <c r="E19" s="84" t="n">
        <v>95.3</v>
      </c>
      <c r="F19" s="83" t="n">
        <v>94.90000000000001</v>
      </c>
      <c r="G19" s="83" t="n">
        <v>93.5</v>
      </c>
      <c r="H19" s="83">
        <f>MAX(C19:G19)-MIN(C19:G19)</f>
        <v/>
      </c>
      <c r="I19" s="83" t="n"/>
      <c r="J19" s="80" t="n"/>
    </row>
    <row r="20">
      <c r="A20" s="81" t="inlineStr">
        <is>
          <t>Door</t>
        </is>
      </c>
      <c r="B20" s="80" t="inlineStr">
        <is>
          <t>state</t>
        </is>
      </c>
      <c r="C20" s="83" t="n">
        <v>97.5</v>
      </c>
      <c r="D20" s="83" t="n">
        <v>98.09999999999999</v>
      </c>
      <c r="E20" s="84" t="n">
        <v>98.40000000000001</v>
      </c>
      <c r="F20" s="83" t="n">
        <v>98.2</v>
      </c>
      <c r="G20" s="83" t="n">
        <v>97.3</v>
      </c>
      <c r="H20" s="83">
        <f>MAX(C20:G20)-MIN(C20:G20)</f>
        <v/>
      </c>
      <c r="I20" s="83" t="n"/>
      <c r="J20" s="80" t="n"/>
    </row>
    <row r="21">
      <c r="A21" s="81" t="inlineStr">
        <is>
          <t>Door</t>
        </is>
      </c>
      <c r="B21" s="80" t="inlineStr">
        <is>
          <t>image</t>
        </is>
      </c>
      <c r="C21" s="83" t="n">
        <v>97.40000000000001</v>
      </c>
      <c r="D21" s="83" t="n">
        <v>98.59999999999999</v>
      </c>
      <c r="E21" s="84" t="n">
        <v>99.2</v>
      </c>
      <c r="F21" s="83" t="n">
        <v>98.8</v>
      </c>
      <c r="G21" s="83" t="n">
        <v>97.3</v>
      </c>
      <c r="H21" s="83">
        <f>MAX(C21:G21)-MIN(C21:G21)</f>
        <v/>
      </c>
      <c r="I21" s="83" t="n"/>
      <c r="J21" s="80" t="n"/>
    </row>
    <row r="22" ht="35" customHeight="1" s="76">
      <c r="A22" s="71" t="inlineStr">
        <is>
          <t>γ is the ONLY live knob on GridWorld (kernel reduces to identical-centroid check shaped by γ alone — your own text) and on Door (recency-weighted global discount).</t>
        </is>
      </c>
    </row>
    <row r="24">
      <c r="A24" s="85" t="inlineStr">
        <is>
          <t>σ  (kernel width)  — paper value 0.06</t>
        </is>
      </c>
    </row>
    <row r="25">
      <c r="A25" s="79" t="inlineStr">
        <is>
          <t>Task</t>
        </is>
      </c>
      <c r="B25" s="79" t="inlineStr">
        <is>
          <t>Obs</t>
        </is>
      </c>
      <c r="C25" s="79" t="inlineStr">
        <is>
          <t>0.02</t>
        </is>
      </c>
      <c r="D25" s="79" t="inlineStr">
        <is>
          <t>0.04</t>
        </is>
      </c>
      <c r="E25" s="79" t="inlineStr">
        <is>
          <t>0.06</t>
        </is>
      </c>
      <c r="F25" s="79" t="inlineStr">
        <is>
          <t>0.1</t>
        </is>
      </c>
      <c r="G25" s="79" t="inlineStr">
        <is>
          <t>0.2</t>
        </is>
      </c>
      <c r="H25" s="79" t="inlineStr">
        <is>
          <t>Spread (max−min)</t>
        </is>
      </c>
      <c r="I25" s="79" t="n"/>
      <c r="J25" s="79" t="n"/>
    </row>
    <row r="26">
      <c r="A26" s="81" t="inlineStr">
        <is>
          <t>GridWorld 5x5</t>
        </is>
      </c>
      <c r="B26" s="80" t="inlineStr">
        <is>
          <t>state</t>
        </is>
      </c>
      <c r="C26" s="83" t="n">
        <v>89.90000000000001</v>
      </c>
      <c r="D26" s="83" t="n">
        <v>89.90000000000001</v>
      </c>
      <c r="E26" s="84" t="n">
        <v>89.90000000000001</v>
      </c>
      <c r="F26" s="83" t="n">
        <v>89.90000000000001</v>
      </c>
      <c r="G26" s="83" t="n">
        <v>89.8</v>
      </c>
      <c r="H26" s="83">
        <f>MAX(C26:G26)-MIN(C26:G26)</f>
        <v/>
      </c>
      <c r="I26" s="83" t="n"/>
      <c r="J26" s="80" t="n"/>
    </row>
    <row r="27">
      <c r="A27" s="81" t="inlineStr">
        <is>
          <t>GridWorld 5x5</t>
        </is>
      </c>
      <c r="B27" s="80" t="inlineStr">
        <is>
          <t>image</t>
        </is>
      </c>
      <c r="C27" s="83" t="n">
        <v>89.5</v>
      </c>
      <c r="D27" s="83" t="n">
        <v>89.59999999999999</v>
      </c>
      <c r="E27" s="84" t="n">
        <v>89.59999999999999</v>
      </c>
      <c r="F27" s="83" t="n">
        <v>89.59999999999999</v>
      </c>
      <c r="G27" s="83" t="n">
        <v>89.59999999999999</v>
      </c>
      <c r="H27" s="83">
        <f>MAX(C27:G27)-MIN(C27:G27)</f>
        <v/>
      </c>
      <c r="I27" s="83" t="n"/>
      <c r="J27" s="80" t="n"/>
    </row>
    <row r="28">
      <c r="A28" s="81" t="inlineStr">
        <is>
          <t>Push-T</t>
        </is>
      </c>
      <c r="B28" s="80" t="inlineStr">
        <is>
          <t>state</t>
        </is>
      </c>
      <c r="C28" s="83" t="n">
        <v>94.5</v>
      </c>
      <c r="D28" s="83" t="n">
        <v>95.8</v>
      </c>
      <c r="E28" s="84" t="n">
        <v>96.09999999999999</v>
      </c>
      <c r="F28" s="83" t="n">
        <v>95.40000000000001</v>
      </c>
      <c r="G28" s="83" t="n">
        <v>93.8</v>
      </c>
      <c r="H28" s="83">
        <f>MAX(C28:G28)-MIN(C28:G28)</f>
        <v/>
      </c>
      <c r="I28" s="83" t="n"/>
      <c r="J28" s="80" t="n"/>
    </row>
    <row r="29">
      <c r="A29" s="81" t="inlineStr">
        <is>
          <t>Push-T</t>
        </is>
      </c>
      <c r="B29" s="80" t="inlineStr">
        <is>
          <t>image</t>
        </is>
      </c>
      <c r="C29" s="83" t="n">
        <v>92.40000000000001</v>
      </c>
      <c r="D29" s="83" t="n">
        <v>93.40000000000001</v>
      </c>
      <c r="E29" s="84" t="n">
        <v>93.90000000000001</v>
      </c>
      <c r="F29" s="83" t="n">
        <v>93.2</v>
      </c>
      <c r="G29" s="83" t="n">
        <v>91.7</v>
      </c>
      <c r="H29" s="83">
        <f>MAX(C29:G29)-MIN(C29:G29)</f>
        <v/>
      </c>
      <c r="I29" s="83" t="n"/>
      <c r="J29" s="80" t="n"/>
    </row>
    <row r="30">
      <c r="A30" s="81" t="inlineStr">
        <is>
          <t>Lift</t>
        </is>
      </c>
      <c r="B30" s="80" t="inlineStr">
        <is>
          <t>state</t>
        </is>
      </c>
      <c r="C30" s="83" t="n">
        <v>99.90000000000001</v>
      </c>
      <c r="D30" s="83" t="n">
        <v>100</v>
      </c>
      <c r="E30" s="84" t="n">
        <v>100</v>
      </c>
      <c r="F30" s="83" t="n">
        <v>100</v>
      </c>
      <c r="G30" s="83" t="n">
        <v>99.90000000000001</v>
      </c>
      <c r="H30" s="83">
        <f>MAX(C30:G30)-MIN(C30:G30)</f>
        <v/>
      </c>
      <c r="I30" s="83" t="n"/>
      <c r="J30" s="80" t="n"/>
    </row>
    <row r="31">
      <c r="A31" s="81" t="inlineStr">
        <is>
          <t>Lift</t>
        </is>
      </c>
      <c r="B31" s="80" t="inlineStr">
        <is>
          <t>image</t>
        </is>
      </c>
      <c r="C31" s="83" t="n">
        <v>100</v>
      </c>
      <c r="D31" s="83" t="n">
        <v>100</v>
      </c>
      <c r="E31" s="84" t="n">
        <v>100</v>
      </c>
      <c r="F31" s="83" t="n">
        <v>100</v>
      </c>
      <c r="G31" s="83" t="n">
        <v>99.90000000000001</v>
      </c>
      <c r="H31" s="83">
        <f>MAX(C31:G31)-MIN(C31:G31)</f>
        <v/>
      </c>
      <c r="I31" s="83" t="n"/>
      <c r="J31" s="80" t="n"/>
    </row>
    <row r="32">
      <c r="A32" s="81" t="inlineStr">
        <is>
          <t>Wipe</t>
        </is>
      </c>
      <c r="B32" s="80" t="inlineStr">
        <is>
          <t>state</t>
        </is>
      </c>
      <c r="C32" s="83" t="n">
        <v>94.2</v>
      </c>
      <c r="D32" s="83" t="n">
        <v>95.2</v>
      </c>
      <c r="E32" s="84" t="n">
        <v>95.5</v>
      </c>
      <c r="F32" s="83" t="n">
        <v>94.8</v>
      </c>
      <c r="G32" s="83" t="n">
        <v>93.3</v>
      </c>
      <c r="H32" s="83">
        <f>MAX(C32:G32)-MIN(C32:G32)</f>
        <v/>
      </c>
      <c r="I32" s="83" t="n"/>
      <c r="J32" s="80" t="n"/>
    </row>
    <row r="33">
      <c r="A33" s="81" t="inlineStr">
        <is>
          <t>Wipe</t>
        </is>
      </c>
      <c r="B33" s="80" t="inlineStr">
        <is>
          <t>image</t>
        </is>
      </c>
      <c r="C33" s="83" t="n">
        <v>93.7</v>
      </c>
      <c r="D33" s="83" t="n">
        <v>94.7</v>
      </c>
      <c r="E33" s="84" t="n">
        <v>95.3</v>
      </c>
      <c r="F33" s="83" t="n">
        <v>94.40000000000001</v>
      </c>
      <c r="G33" s="83" t="n">
        <v>92.7</v>
      </c>
      <c r="H33" s="83">
        <f>MAX(C33:G33)-MIN(C33:G33)</f>
        <v/>
      </c>
      <c r="I33" s="83" t="n"/>
      <c r="J33" s="80" t="n"/>
    </row>
    <row r="34">
      <c r="A34" s="81" t="inlineStr">
        <is>
          <t>Door</t>
        </is>
      </c>
      <c r="B34" s="80" t="inlineStr">
        <is>
          <t>state</t>
        </is>
      </c>
      <c r="C34" s="83" t="n">
        <v>98.40000000000001</v>
      </c>
      <c r="D34" s="83" t="n">
        <v>98.40000000000001</v>
      </c>
      <c r="E34" s="84" t="n">
        <v>98.40000000000001</v>
      </c>
      <c r="F34" s="83" t="n">
        <v>98.3</v>
      </c>
      <c r="G34" s="83" t="n">
        <v>98.2</v>
      </c>
      <c r="H34" s="83">
        <f>MAX(C34:G34)-MIN(C34:G34)</f>
        <v/>
      </c>
      <c r="I34" s="83" t="n"/>
      <c r="J34" s="80" t="n"/>
    </row>
    <row r="35">
      <c r="A35" s="81" t="inlineStr">
        <is>
          <t>Door</t>
        </is>
      </c>
      <c r="B35" s="80" t="inlineStr">
        <is>
          <t>image</t>
        </is>
      </c>
      <c r="C35" s="83" t="n">
        <v>99.09999999999999</v>
      </c>
      <c r="D35" s="83" t="n">
        <v>99.2</v>
      </c>
      <c r="E35" s="84" t="n">
        <v>99.2</v>
      </c>
      <c r="F35" s="83" t="n">
        <v>99.2</v>
      </c>
      <c r="G35" s="83" t="n">
        <v>99</v>
      </c>
      <c r="H35" s="83">
        <f>MAX(C35:G35)-MIN(C35:G35)</f>
        <v/>
      </c>
      <c r="I35" s="83" t="n"/>
      <c r="J35" s="80" t="n"/>
    </row>
    <row r="36">
      <c r="A36" s="71" t="inlineStr">
        <is>
          <t>Expect INERT on GridWorld / Door (kernel degenerate) and on Lift (ceiling). LIVE only on Push-T and Wipe.</t>
        </is>
      </c>
    </row>
    <row r="38">
      <c r="A38" s="85" t="inlineStr">
        <is>
          <t>λ  (memory penalty weight)  — paper value 1.0</t>
        </is>
      </c>
    </row>
    <row r="39">
      <c r="A39" s="79" t="inlineStr">
        <is>
          <t>Task</t>
        </is>
      </c>
      <c r="B39" s="79" t="inlineStr">
        <is>
          <t>Obs</t>
        </is>
      </c>
      <c r="C39" s="79" t="inlineStr">
        <is>
          <t>0.0</t>
        </is>
      </c>
      <c r="D39" s="79" t="inlineStr">
        <is>
          <t>0.5</t>
        </is>
      </c>
      <c r="E39" s="79" t="inlineStr">
        <is>
          <t>1.0</t>
        </is>
      </c>
      <c r="F39" s="79" t="inlineStr">
        <is>
          <t>2.0</t>
        </is>
      </c>
      <c r="G39" s="79" t="inlineStr">
        <is>
          <t>4.0</t>
        </is>
      </c>
      <c r="H39" s="79" t="inlineStr">
        <is>
          <t>Spread (max−min)</t>
        </is>
      </c>
      <c r="I39" s="79" t="n"/>
      <c r="J39" s="79" t="n"/>
    </row>
    <row r="40">
      <c r="A40" s="81" t="inlineStr">
        <is>
          <t>GridWorld 5x5</t>
        </is>
      </c>
      <c r="B40" s="80" t="inlineStr">
        <is>
          <t>state</t>
        </is>
      </c>
      <c r="C40" s="86" t="n">
        <v>89.40000000000001</v>
      </c>
      <c r="D40" s="83" t="n">
        <v>89</v>
      </c>
      <c r="E40" s="84" t="n">
        <v>89.90000000000001</v>
      </c>
      <c r="F40" s="83" t="n">
        <v>89.5</v>
      </c>
      <c r="G40" s="83" t="n">
        <v>88.90000000000001</v>
      </c>
      <c r="H40" s="83">
        <f>MAX(C40:G40)-MIN(C40:G40)</f>
        <v/>
      </c>
      <c r="I40" s="83" t="n"/>
      <c r="J40" s="80" t="n"/>
    </row>
    <row r="41">
      <c r="A41" s="81" t="inlineStr">
        <is>
          <t>GridWorld 5x5</t>
        </is>
      </c>
      <c r="B41" s="80" t="inlineStr">
        <is>
          <t>image</t>
        </is>
      </c>
      <c r="C41" s="86" t="n">
        <v>89</v>
      </c>
      <c r="D41" s="83" t="n">
        <v>88.8</v>
      </c>
      <c r="E41" s="84" t="n">
        <v>89.59999999999999</v>
      </c>
      <c r="F41" s="83" t="n">
        <v>89.3</v>
      </c>
      <c r="G41" s="83" t="n">
        <v>88.8</v>
      </c>
      <c r="H41" s="83">
        <f>MAX(C41:G41)-MIN(C41:G41)</f>
        <v/>
      </c>
      <c r="I41" s="83" t="n"/>
      <c r="J41" s="80" t="n"/>
    </row>
    <row r="42">
      <c r="A42" s="81" t="inlineStr">
        <is>
          <t>Push-T</t>
        </is>
      </c>
      <c r="B42" s="80" t="inlineStr">
        <is>
          <t>state</t>
        </is>
      </c>
      <c r="C42" s="86" t="n">
        <v>95.7</v>
      </c>
      <c r="D42" s="83" t="n">
        <v>94.40000000000001</v>
      </c>
      <c r="E42" s="84" t="n">
        <v>96.09999999999999</v>
      </c>
      <c r="F42" s="83" t="n">
        <v>95.59999999999999</v>
      </c>
      <c r="G42" s="83" t="n">
        <v>94.3</v>
      </c>
      <c r="H42" s="83">
        <f>MAX(C42:G42)-MIN(C42:G42)</f>
        <v/>
      </c>
      <c r="I42" s="83" t="n"/>
      <c r="J42" s="80" t="n"/>
    </row>
    <row r="43">
      <c r="A43" s="81" t="inlineStr">
        <is>
          <t>Push-T</t>
        </is>
      </c>
      <c r="B43" s="80" t="inlineStr">
        <is>
          <t>image</t>
        </is>
      </c>
      <c r="C43" s="86" t="n">
        <v>93.09999999999999</v>
      </c>
      <c r="D43" s="83" t="n">
        <v>92.40000000000001</v>
      </c>
      <c r="E43" s="84" t="n">
        <v>93.90000000000001</v>
      </c>
      <c r="F43" s="83" t="n">
        <v>93.40000000000001</v>
      </c>
      <c r="G43" s="83" t="n">
        <v>92</v>
      </c>
      <c r="H43" s="83">
        <f>MAX(C43:G43)-MIN(C43:G43)</f>
        <v/>
      </c>
      <c r="I43" s="83" t="n"/>
      <c r="J43" s="80" t="n"/>
    </row>
    <row r="44">
      <c r="A44" s="81" t="inlineStr">
        <is>
          <t>Lift</t>
        </is>
      </c>
      <c r="B44" s="80" t="inlineStr">
        <is>
          <t>state</t>
        </is>
      </c>
      <c r="C44" s="86" t="n">
        <v>99.90000000000001</v>
      </c>
      <c r="D44" s="83" t="n">
        <v>99.90000000000001</v>
      </c>
      <c r="E44" s="84" t="n">
        <v>100</v>
      </c>
      <c r="F44" s="83" t="n">
        <v>99.90000000000001</v>
      </c>
      <c r="G44" s="83" t="n">
        <v>99.7</v>
      </c>
      <c r="H44" s="83">
        <f>MAX(C44:G44)-MIN(C44:G44)</f>
        <v/>
      </c>
      <c r="I44" s="83" t="n"/>
      <c r="J44" s="80" t="n"/>
    </row>
    <row r="45">
      <c r="A45" s="81" t="inlineStr">
        <is>
          <t>Lift</t>
        </is>
      </c>
      <c r="B45" s="80" t="inlineStr">
        <is>
          <t>image</t>
        </is>
      </c>
      <c r="C45" s="86" t="n">
        <v>99.90000000000001</v>
      </c>
      <c r="D45" s="83" t="n">
        <v>100</v>
      </c>
      <c r="E45" s="84" t="n">
        <v>100</v>
      </c>
      <c r="F45" s="83" t="n">
        <v>100</v>
      </c>
      <c r="G45" s="83" t="n">
        <v>99.8</v>
      </c>
      <c r="H45" s="83">
        <f>MAX(C45:G45)-MIN(C45:G45)</f>
        <v/>
      </c>
      <c r="I45" s="83" t="n"/>
      <c r="J45" s="80" t="n"/>
    </row>
    <row r="46">
      <c r="A46" s="81" t="inlineStr">
        <is>
          <t>Wipe</t>
        </is>
      </c>
      <c r="B46" s="80" t="inlineStr">
        <is>
          <t>state</t>
        </is>
      </c>
      <c r="C46" s="86" t="n">
        <v>94.40000000000001</v>
      </c>
      <c r="D46" s="83" t="n">
        <v>93.90000000000001</v>
      </c>
      <c r="E46" s="84" t="n">
        <v>95.5</v>
      </c>
      <c r="F46" s="83" t="n">
        <v>94.90000000000001</v>
      </c>
      <c r="G46" s="83" t="n">
        <v>93.90000000000001</v>
      </c>
      <c r="H46" s="83">
        <f>MAX(C46:G46)-MIN(C46:G46)</f>
        <v/>
      </c>
      <c r="I46" s="83" t="n"/>
      <c r="J46" s="80" t="n"/>
    </row>
    <row r="47">
      <c r="A47" s="81" t="inlineStr">
        <is>
          <t>Wipe</t>
        </is>
      </c>
      <c r="B47" s="80" t="inlineStr">
        <is>
          <t>image</t>
        </is>
      </c>
      <c r="C47" s="86" t="n">
        <v>94.09999999999999</v>
      </c>
      <c r="D47" s="83" t="n">
        <v>93.2</v>
      </c>
      <c r="E47" s="84" t="n">
        <v>95.3</v>
      </c>
      <c r="F47" s="83" t="n">
        <v>94.5</v>
      </c>
      <c r="G47" s="83" t="n">
        <v>93.3</v>
      </c>
      <c r="H47" s="83">
        <f>MAX(C47:G47)-MIN(C47:G47)</f>
        <v/>
      </c>
      <c r="I47" s="83" t="n"/>
      <c r="J47" s="80" t="n"/>
    </row>
    <row r="48">
      <c r="A48" s="81" t="inlineStr">
        <is>
          <t>Door</t>
        </is>
      </c>
      <c r="B48" s="80" t="inlineStr">
        <is>
          <t>state</t>
        </is>
      </c>
      <c r="C48" s="86" t="n">
        <v>98.2</v>
      </c>
      <c r="D48" s="83" t="n">
        <v>97.7</v>
      </c>
      <c r="E48" s="84" t="n">
        <v>98.40000000000001</v>
      </c>
      <c r="F48" s="83" t="n">
        <v>98.09999999999999</v>
      </c>
      <c r="G48" s="83" t="n">
        <v>97.09999999999999</v>
      </c>
      <c r="H48" s="83">
        <f>MAX(C48:G48)-MIN(C48:G48)</f>
        <v/>
      </c>
      <c r="I48" s="83" t="n"/>
      <c r="J48" s="80" t="n"/>
    </row>
    <row r="49">
      <c r="A49" s="81" t="inlineStr">
        <is>
          <t>Door</t>
        </is>
      </c>
      <c r="B49" s="80" t="inlineStr">
        <is>
          <t>image</t>
        </is>
      </c>
      <c r="C49" s="86" t="n">
        <v>98</v>
      </c>
      <c r="D49" s="83" t="n">
        <v>97.40000000000001</v>
      </c>
      <c r="E49" s="84" t="n">
        <v>99.2</v>
      </c>
      <c r="F49" s="83" t="n">
        <v>98.40000000000001</v>
      </c>
      <c r="G49" s="83" t="n">
        <v>97</v>
      </c>
      <c r="H49" s="83">
        <f>MAX(C49:G49)-MIN(C49:G49)</f>
        <v/>
      </c>
      <c r="I49" s="83" t="n"/>
      <c r="J49" s="80" t="n"/>
    </row>
    <row r="50" ht="32.5" customHeight="1" s="76">
      <c r="A50" s="71" t="inlineStr">
        <is>
          <t>CROSS-SHEET CHECK: the λ=0 column must REPRODUCE A1_Memory_Off (λ=0 IS memory-off). If they disagree, one of the two runs is wrong.</t>
        </is>
      </c>
    </row>
    <row r="54">
      <c r="A54" t="inlineStr">
        <is>
          <t xml:space="preserve">I have a CSV/spreadsheet with ablation results for a my paper. Each </t>
        </is>
      </c>
    </row>
    <row r="55">
      <c r="A55" t="inlineStr">
        <is>
          <t xml:space="preserve">sheet contains one hyperparameter (e.g., γ, σ, λ) swept across 4-5 values, </t>
        </is>
      </c>
    </row>
    <row r="56">
      <c r="A56" t="inlineStr">
        <is>
          <t xml:space="preserve">measured on 5 tasks × 2 observation modalities (10 paired conditions per </t>
        </is>
      </c>
    </row>
    <row r="57">
      <c r="A57" t="inlineStr">
        <is>
          <t>hyperparameter value).</t>
        </is>
      </c>
    </row>
    <row r="59">
      <c r="A59" t="inlineStr">
        <is>
          <t>For EACH hyperparameter sweep, perform the following statistical analysis:</t>
        </is>
      </c>
    </row>
    <row r="61">
      <c r="A61" t="inlineStr">
        <is>
          <t xml:space="preserve">1. **Friedman test** (non-parametric repeated-measures test) across all </t>
        </is>
      </c>
    </row>
    <row r="62">
      <c r="A62" t="inlineStr">
        <is>
          <t xml:space="preserve">   values of the hyperparameter, treating the 10 task×modality rows as </t>
        </is>
      </c>
    </row>
    <row r="63">
      <c r="A63" t="inlineStr">
        <is>
          <t xml:space="preserve">   matched blocks. Report chi-square statistic and p-value.</t>
        </is>
      </c>
    </row>
    <row r="65">
      <c r="A65" t="inlineStr">
        <is>
          <t xml:space="preserve">2. **Post-hoc pairwise Wilcoxon signed-rank tests** comparing the paper's </t>
        </is>
      </c>
    </row>
    <row r="66">
      <c r="A66" t="inlineStr">
        <is>
          <t xml:space="preserve">   chosen value against every other tested value (paired, two-sided).</t>
        </is>
      </c>
    </row>
    <row r="68">
      <c r="A68" t="inlineStr">
        <is>
          <t xml:space="preserve">3. **Holm-Bonferroni correction** on the resulting p-values within each </t>
        </is>
      </c>
    </row>
    <row r="69">
      <c r="A69" t="inlineStr">
        <is>
          <t xml:space="preserve">   hyperparameter's family of comparisons (do NOT correct across different </t>
        </is>
      </c>
    </row>
    <row r="70">
      <c r="A70" t="inlineStr">
        <is>
          <t xml:space="preserve">   hyperparameters — treat each hyperparameter's comparisons as a separate </t>
        </is>
      </c>
    </row>
    <row r="71">
      <c r="A71" t="inlineStr">
        <is>
          <t xml:space="preserve">   family).</t>
        </is>
      </c>
    </row>
    <row r="73">
      <c r="A73" t="inlineStr">
        <is>
          <t xml:space="preserve">4. **Average rank** for each hyperparameter value across the 10 conditions </t>
        </is>
      </c>
    </row>
    <row r="74">
      <c r="A74" t="inlineStr">
        <is>
          <t xml:space="preserve">   (rank 1 = best per row, averaged across rows) as a robustness summary.</t>
        </is>
      </c>
    </row>
    <row r="76">
      <c r="A76" t="inlineStr">
        <is>
          <t xml:space="preserve">5. Flag any hyperparameter where the chosen value has the best average rank </t>
        </is>
      </c>
    </row>
    <row r="77">
      <c r="A77" t="inlineStr">
        <is>
          <t xml:space="preserve">   but does NOT reach significance (corrected p &gt; 0.05) against nearby </t>
        </is>
      </c>
    </row>
    <row r="78">
      <c r="A78" t="inlineStr">
        <is>
          <t xml:space="preserve">   values — report this as "directionally best but not statistically </t>
        </is>
      </c>
    </row>
    <row r="79">
      <c r="A79" t="inlineStr">
        <is>
          <t xml:space="preserve">   distinguishable" rather than overstating significance.</t>
        </is>
      </c>
    </row>
    <row r="81">
      <c r="A81" t="inlineStr">
        <is>
          <t>Output for each hyperparameter:</t>
        </is>
      </c>
    </row>
    <row r="82">
      <c r="A82" t="inlineStr">
        <is>
          <t>A markdown table: value | avg_rank | wilcoxon_p_vs_chosen | holm_corrected_p</t>
        </is>
      </c>
    </row>
    <row r="83">
      <c r="A83" t="inlineStr">
        <is>
          <t xml:space="preserve"> The Friedman chi-square and p-value</t>
        </is>
      </c>
    </row>
    <row r="84">
      <c r="A84" t="inlineStr">
        <is>
          <t xml:space="preserve">A one-sentence plain-English verdict (e.g., "significantly best," "best on </t>
        </is>
      </c>
    </row>
    <row r="85">
      <c r="A85" t="inlineStr">
        <is>
          <t xml:space="preserve">  average but not significantly better than neighbors," etc.)</t>
        </is>
      </c>
    </row>
    <row r="86">
      <c r="A86" t="inlineStr">
        <is>
          <t>A suggested paragraph I can paste directly into my paper's ablation section</t>
        </is>
      </c>
    </row>
    <row r="88">
      <c r="A88" t="inlineStr">
        <is>
          <t xml:space="preserve">Save all results as a single CSV (one row per hyperparameter-value pair, </t>
        </is>
      </c>
    </row>
    <row r="89">
      <c r="A89" t="inlineStr">
        <is>
          <t xml:space="preserve">with columns for hyperparameter_name, value, avg_rank, wilcoxon_p, </t>
        </is>
      </c>
    </row>
    <row r="90">
      <c r="A90" t="inlineStr">
        <is>
          <t>holm_p, friedman_chi2, friedman_p) plus a summary markdown report.</t>
        </is>
      </c>
    </row>
    <row r="92">
      <c r="A92" t="inlineStr">
        <is>
          <t xml:space="preserve">Use Python (scipy.stats.friedmanchisquare, scipy.stats.wilcoxon) and </t>
        </is>
      </c>
    </row>
    <row r="93">
      <c r="A93" t="inlineStr">
        <is>
          <t>implement Holm-Bonferroni manually or via statsmodels.stats.multitest.</t>
        </is>
      </c>
    </row>
  </sheetData>
  <mergeCells count="8">
    <mergeCell ref="B7:J7"/>
    <mergeCell ref="A36:J36"/>
    <mergeCell ref="B5:J5"/>
    <mergeCell ref="A22:J22"/>
    <mergeCell ref="A50:J50"/>
    <mergeCell ref="B8:J8"/>
    <mergeCell ref="B4:J4"/>
    <mergeCell ref="B6:J6"/>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K13"/>
  <sheetViews>
    <sheetView topLeftCell="A4" workbookViewId="0">
      <selection activeCell="N6" sqref="N6"/>
    </sheetView>
  </sheetViews>
  <sheetFormatPr baseColWidth="8" defaultRowHeight="14.5"/>
  <sheetData>
    <row r="1" ht="18" customHeight="1" s="76">
      <c r="A1" s="77" t="inlineStr">
        <is>
          <t>A14 — Cluster count: silhouette (Eq 8) vs fixed k — all 10 cells</t>
        </is>
      </c>
    </row>
    <row r="2">
      <c r="A2" s="78" t="inlineStr">
        <is>
          <t>Does the adaptive k earn its place, or would a constant do the same job?</t>
        </is>
      </c>
    </row>
    <row r="4" ht="26" customHeight="1" s="76">
      <c r="A4" s="82" t="inlineStr">
        <is>
          <t>What is ablated</t>
        </is>
      </c>
      <c r="B4" s="47" t="inlineStr">
        <is>
          <t>Replace maximum-mean-silhouette k-selection with a fixed k ∈ {2,3,4,5}; k_max = max(2, min(6, N−1)) as in the paper.</t>
        </is>
      </c>
    </row>
    <row r="5" ht="52" customHeight="1" s="76">
      <c r="A5" s="82" t="inlineStr">
        <is>
          <t>Hypothesis (what should happen)</t>
        </is>
      </c>
      <c r="B5" s="47" t="inlineStr">
        <is>
          <t>Silhouette should roughly MATCH the best fixed k rather than beat it — that is the honest expectation. k=3 is often near-optimal (cf. Figure 5).</t>
        </is>
      </c>
    </row>
    <row r="6" ht="52" customHeight="1" s="76">
      <c r="A6" s="82" t="inlineStr">
        <is>
          <t>If the gap is ~0, it means</t>
        </is>
      </c>
      <c r="B6" s="47" t="inlineStr">
        <is>
          <t>If a fixed k matches silhouette in every cell, Eq 8 is unnecessary machinery — just fix k and reclaim the equation. Cross-read with D2_kStar_Dist: if silhouette almost always PICKS 3, this ablation is already decided.</t>
        </is>
      </c>
    </row>
    <row r="8" ht="39" customHeight="1" s="76">
      <c r="A8" s="79" t="inlineStr">
        <is>
          <t>Setting</t>
        </is>
      </c>
      <c r="B8" s="52" t="inlineStr">
        <is>
          <t>GridWorld
state</t>
        </is>
      </c>
      <c r="C8" s="52" t="inlineStr">
        <is>
          <t>GridWorld
image</t>
        </is>
      </c>
      <c r="D8" s="52" t="inlineStr">
        <is>
          <t>Push-T
state</t>
        </is>
      </c>
      <c r="E8" s="52" t="inlineStr">
        <is>
          <t>Push-T
image</t>
        </is>
      </c>
      <c r="F8" s="52" t="inlineStr">
        <is>
          <t>Lift
state</t>
        </is>
      </c>
      <c r="G8" s="52" t="inlineStr">
        <is>
          <t>Lift
image</t>
        </is>
      </c>
      <c r="H8" s="52" t="inlineStr">
        <is>
          <t>Wipe
state</t>
        </is>
      </c>
      <c r="I8" s="52" t="inlineStr">
        <is>
          <t>Wipe
image</t>
        </is>
      </c>
      <c r="J8" s="52" t="inlineStr">
        <is>
          <t>Door
state</t>
        </is>
      </c>
      <c r="K8" s="52" t="inlineStr">
        <is>
          <t>Door
image</t>
        </is>
      </c>
    </row>
    <row r="9" ht="52" customHeight="1" s="76">
      <c r="A9" s="53" t="inlineStr">
        <is>
          <t>Silhouette (adaptive, Eq 8)</t>
        </is>
      </c>
      <c r="B9" s="54" t="inlineStr">
        <is>
          <t>89.9 ± 1.3</t>
        </is>
      </c>
      <c r="C9" s="54" t="inlineStr">
        <is>
          <t>89.6 ± 1.8</t>
        </is>
      </c>
      <c r="D9" s="54" t="inlineStr">
        <is>
          <t>96.1 ± 4.5</t>
        </is>
      </c>
      <c r="E9" s="54" t="inlineStr">
        <is>
          <t>93.9 ± 4.9</t>
        </is>
      </c>
      <c r="F9" s="54" t="inlineStr">
        <is>
          <t>100.0 ± 0.0</t>
        </is>
      </c>
      <c r="G9" s="54" t="inlineStr">
        <is>
          <t>100.0 ± 0.0</t>
        </is>
      </c>
      <c r="H9" s="54" t="inlineStr">
        <is>
          <t>95.5 ± 6.0</t>
        </is>
      </c>
      <c r="I9" s="54" t="inlineStr">
        <is>
          <t>95.3 ± 3.2</t>
        </is>
      </c>
      <c r="J9" s="54" t="inlineStr">
        <is>
          <t>98.4 ± 4.2</t>
        </is>
      </c>
      <c r="K9" s="54" t="inlineStr">
        <is>
          <t>99.2 ± 3.4</t>
        </is>
      </c>
    </row>
    <row r="10" ht="25" customHeight="1" s="76">
      <c r="A10" s="55" t="inlineStr">
        <is>
          <t>fixed k = 2</t>
        </is>
      </c>
      <c r="B10" s="80" t="inlineStr">
        <is>
          <t>89.0 ± 1.6</t>
        </is>
      </c>
      <c r="C10" s="80" t="inlineStr">
        <is>
          <t>88.6 ± 1.9</t>
        </is>
      </c>
      <c r="D10" s="80" t="inlineStr">
        <is>
          <t>94.6 ± 4.5</t>
        </is>
      </c>
      <c r="E10" s="80" t="inlineStr">
        <is>
          <t>92.8 ± 5.7</t>
        </is>
      </c>
      <c r="F10" s="80" t="inlineStr">
        <is>
          <t>99.9 ± 0.9</t>
        </is>
      </c>
      <c r="G10" s="80" t="inlineStr">
        <is>
          <t>99.9 ± 0.4</t>
        </is>
      </c>
      <c r="H10" s="80" t="inlineStr">
        <is>
          <t>94.5 ± 7.2</t>
        </is>
      </c>
      <c r="I10" s="80" t="inlineStr">
        <is>
          <t>93.4 ± 3.7</t>
        </is>
      </c>
      <c r="J10" s="80" t="inlineStr">
        <is>
          <t>97.4 ± 4.9</t>
        </is>
      </c>
      <c r="K10" s="80" t="inlineStr">
        <is>
          <t>97.5 ± 4.0</t>
        </is>
      </c>
    </row>
    <row r="11" ht="25" customHeight="1" s="76">
      <c r="A11" s="55" t="inlineStr">
        <is>
          <t>fixed k = 3</t>
        </is>
      </c>
      <c r="B11" s="69" t="inlineStr">
        <is>
          <t>89.4 ± 1.5</t>
        </is>
      </c>
      <c r="C11" s="69" t="inlineStr">
        <is>
          <t>89.5 ± 2.2</t>
        </is>
      </c>
      <c r="D11" s="69" t="inlineStr">
        <is>
          <t>96.0 ± 5.3</t>
        </is>
      </c>
      <c r="E11" s="69" t="inlineStr">
        <is>
          <t>93.5 ± 5.0</t>
        </is>
      </c>
      <c r="F11" s="69" t="inlineStr">
        <is>
          <t>99.9 ± 0.5</t>
        </is>
      </c>
      <c r="G11" s="69" t="inlineStr">
        <is>
          <t>99.6 ± 0.7</t>
        </is>
      </c>
      <c r="H11" s="69" t="inlineStr">
        <is>
          <t>95.0 ± 6.8</t>
        </is>
      </c>
      <c r="I11" s="69" t="inlineStr">
        <is>
          <t>94.8 ± 3.6</t>
        </is>
      </c>
      <c r="J11" s="69" t="inlineStr">
        <is>
          <t>98.3 ± 4.3</t>
        </is>
      </c>
      <c r="K11" s="69" t="inlineStr">
        <is>
          <t>98.7 ± 4.1</t>
        </is>
      </c>
    </row>
    <row r="12" ht="25" customHeight="1" s="76">
      <c r="A12" s="55" t="inlineStr">
        <is>
          <t>fixed k = 4</t>
        </is>
      </c>
      <c r="B12" s="80" t="inlineStr">
        <is>
          <t>89.6 ± 1.3</t>
        </is>
      </c>
      <c r="C12" s="80" t="inlineStr">
        <is>
          <t>89.5 ± 2.1</t>
        </is>
      </c>
      <c r="D12" s="80" t="inlineStr">
        <is>
          <t>95.5 ± 4.5</t>
        </is>
      </c>
      <c r="E12" s="80" t="inlineStr">
        <is>
          <t>92.9 ± 5.5</t>
        </is>
      </c>
      <c r="F12" s="80" t="inlineStr">
        <is>
          <t>99.7 ± 0.8</t>
        </is>
      </c>
      <c r="G12" s="80" t="inlineStr">
        <is>
          <t>99.8 ± 0.6</t>
        </is>
      </c>
      <c r="H12" s="80" t="inlineStr">
        <is>
          <t>94.6 ± 6.4</t>
        </is>
      </c>
      <c r="I12" s="80" t="inlineStr">
        <is>
          <t>94.3 ± 3.4</t>
        </is>
      </c>
      <c r="J12" s="80" t="inlineStr">
        <is>
          <t>98.0 ± 4.7</t>
        </is>
      </c>
      <c r="K12" s="80" t="inlineStr">
        <is>
          <t>98.4 ± 4.0</t>
        </is>
      </c>
    </row>
    <row r="13" ht="25" customHeight="1" s="76">
      <c r="A13" s="55" t="inlineStr">
        <is>
          <t>fixed k = 5</t>
        </is>
      </c>
      <c r="B13" s="80" t="inlineStr">
        <is>
          <t>88.6 ± 1.4</t>
        </is>
      </c>
      <c r="C13" s="80" t="inlineStr">
        <is>
          <t>88.6 ± 2.2</t>
        </is>
      </c>
      <c r="D13" s="80" t="inlineStr">
        <is>
          <t>94.0 ± 5.1</t>
        </is>
      </c>
      <c r="E13" s="80" t="inlineStr">
        <is>
          <t>92.4 ± 5.2</t>
        </is>
      </c>
      <c r="F13" s="80" t="inlineStr">
        <is>
          <t>99.4 ± 0.6</t>
        </is>
      </c>
      <c r="G13" s="80" t="inlineStr">
        <is>
          <t>99.9 ± 0.7</t>
        </is>
      </c>
      <c r="H13" s="80" t="inlineStr">
        <is>
          <t>94.1 ± 6.6</t>
        </is>
      </c>
      <c r="I13" s="80" t="inlineStr">
        <is>
          <t>93.6 ± 3.7</t>
        </is>
      </c>
      <c r="J13" s="80" t="inlineStr">
        <is>
          <t>97.4 ± 4.8</t>
        </is>
      </c>
      <c r="K13" s="80" t="inlineStr">
        <is>
          <t>96.9 ± 3.8</t>
        </is>
      </c>
    </row>
  </sheetData>
  <mergeCells count="3">
    <mergeCell ref="B5:G5"/>
    <mergeCell ref="B4:G4"/>
    <mergeCell ref="B6:G6"/>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23"/>
  <sheetViews>
    <sheetView workbookViewId="0">
      <selection activeCell="E24" sqref="E24"/>
    </sheetView>
  </sheetViews>
  <sheetFormatPr baseColWidth="8" defaultRowHeight="14.5"/>
  <cols>
    <col width="21.81640625" customWidth="1" style="76" min="1" max="1"/>
    <col width="11.90625" customWidth="1" style="76" min="2" max="2"/>
    <col width="13.90625" bestFit="1" customWidth="1" style="76" min="3" max="12"/>
  </cols>
  <sheetData>
    <row r="1" ht="18" customHeight="1" s="76">
      <c r="A1" s="77" t="inlineStr">
        <is>
          <t>A15 — How many failure episodes are cited to the LLM, and chosen how — all 10 cells</t>
        </is>
      </c>
    </row>
    <row r="2">
      <c r="A2" s="78" t="inlineStr">
        <is>
          <t>Target cluster fixed by Eq 9. Varies the NUMBER of cited episodes and the SELECTION RULE, jointly.</t>
        </is>
      </c>
    </row>
    <row r="4" ht="56" customHeight="1" s="76">
      <c r="A4" s="82" t="inlineStr">
        <is>
          <t>What is ablated</t>
        </is>
      </c>
      <c r="B4" s="47" t="inlineStr">
        <is>
          <t>S currently = 3 episodes by three different rules (forced rep + worst-loss seed + FPS fill). Here we instead cite n episodes from the SAME target cluster, selected by plain peak-loss rank (top-n), by the current rule, or at random.</t>
        </is>
      </c>
    </row>
    <row r="5" ht="52" customHeight="1" s="76">
      <c r="A5" s="82" t="inlineStr">
        <is>
          <t>Hypothesis (what should happen)</t>
        </is>
      </c>
      <c r="B5" s="47" t="inlineStr">
        <is>
          <t>Plateau at n=2–3; n=5 flat; 'all' DEGRADES (prompt bloat — early rounds carry ~40 failures, see D4). THE key row is Top-3-by-loss vs Full S.</t>
        </is>
      </c>
    </row>
    <row r="6" ht="52" customHeight="1" s="76">
      <c r="A6" s="82" t="inlineStr">
        <is>
          <t>If the gap is ~0, it means</t>
        </is>
      </c>
      <c r="B6" s="47" t="inlineStr">
        <is>
          <t>If Top-3-by-loss ≈ Full S, the rep+worst+FPS construction is over-engineering — cut it and reclaim a line of the 7-page budget. That null is a GIFT.</t>
        </is>
      </c>
    </row>
    <row r="8" ht="39" customHeight="1" s="76">
      <c r="A8" s="79" t="inlineStr">
        <is>
          <t>Variant</t>
        </is>
      </c>
      <c r="B8" s="79" t="inlineStr">
        <is>
          <t>n</t>
        </is>
      </c>
      <c r="C8" s="52" t="inlineStr">
        <is>
          <t>GridWorld
state</t>
        </is>
      </c>
      <c r="D8" s="52" t="inlineStr">
        <is>
          <t>GridWorld
image</t>
        </is>
      </c>
      <c r="E8" s="52" t="inlineStr">
        <is>
          <t>Push-T
state</t>
        </is>
      </c>
      <c r="F8" s="52" t="inlineStr">
        <is>
          <t>Push-T
image</t>
        </is>
      </c>
      <c r="G8" s="52" t="inlineStr">
        <is>
          <t>Lift
state</t>
        </is>
      </c>
      <c r="H8" s="52" t="inlineStr">
        <is>
          <t>Lift
image</t>
        </is>
      </c>
      <c r="I8" s="52" t="inlineStr">
        <is>
          <t>Wipe
state</t>
        </is>
      </c>
      <c r="J8" s="52" t="inlineStr">
        <is>
          <t>Wipe
image</t>
        </is>
      </c>
      <c r="K8" s="52" t="inlineStr">
        <is>
          <t>Door
state</t>
        </is>
      </c>
      <c r="L8" s="52" t="inlineStr">
        <is>
          <t>Door
image</t>
        </is>
      </c>
    </row>
    <row r="9" ht="78" customHeight="1" s="76">
      <c r="A9" s="53" t="inlineStr">
        <is>
          <t>Full S — rep + worst-loss + FPS (current)</t>
        </is>
      </c>
      <c r="B9" s="80" t="n">
        <v>3</v>
      </c>
      <c r="C9" s="54" t="inlineStr">
        <is>
          <t>89.9 ± 1.3</t>
        </is>
      </c>
      <c r="D9" s="54" t="inlineStr">
        <is>
          <t>89.6 ± 1.8</t>
        </is>
      </c>
      <c r="E9" s="54" t="inlineStr">
        <is>
          <t>96.1 ± 4.5</t>
        </is>
      </c>
      <c r="F9" s="54" t="inlineStr">
        <is>
          <t>93.9 ± 4.9</t>
        </is>
      </c>
      <c r="G9" s="54" t="inlineStr">
        <is>
          <t>100.0 ± 0.0</t>
        </is>
      </c>
      <c r="H9" s="54" t="inlineStr">
        <is>
          <t>100.0 ± 0.0</t>
        </is>
      </c>
      <c r="I9" s="54" t="inlineStr">
        <is>
          <t>95.5 ± 6.0</t>
        </is>
      </c>
      <c r="J9" s="54" t="inlineStr">
        <is>
          <t>95.3 ± 3.2</t>
        </is>
      </c>
      <c r="K9" s="54" t="inlineStr">
        <is>
          <t>98.4 ± 4.2</t>
        </is>
      </c>
      <c r="L9" s="54" t="inlineStr">
        <is>
          <t>99.2 ± 3.4</t>
        </is>
      </c>
    </row>
    <row r="10" ht="25" customHeight="1" s="76">
      <c r="A10" s="55" t="inlineStr">
        <is>
          <t>Top-1 by peak loss</t>
        </is>
      </c>
      <c r="B10" s="80" t="n">
        <v>1</v>
      </c>
      <c r="C10" s="80" t="inlineStr">
        <is>
          <t>Did not compute</t>
        </is>
      </c>
      <c r="D10" s="80" t="inlineStr">
        <is>
          <t>Did not compute</t>
        </is>
      </c>
      <c r="E10" s="80" t="inlineStr">
        <is>
          <t>Did not compute</t>
        </is>
      </c>
      <c r="F10" s="80" t="inlineStr">
        <is>
          <t>Did not compute</t>
        </is>
      </c>
      <c r="G10" s="80" t="inlineStr">
        <is>
          <t>Did not compute</t>
        </is>
      </c>
      <c r="H10" s="80" t="inlineStr">
        <is>
          <t>Did not compute</t>
        </is>
      </c>
      <c r="I10" s="80" t="inlineStr">
        <is>
          <t>Did not compute</t>
        </is>
      </c>
      <c r="J10" s="80" t="inlineStr">
        <is>
          <t>Did not compute</t>
        </is>
      </c>
      <c r="K10" s="80" t="inlineStr">
        <is>
          <t>Did not compute</t>
        </is>
      </c>
      <c r="L10" s="80" t="inlineStr">
        <is>
          <t>Did not compute</t>
        </is>
      </c>
    </row>
    <row r="11" ht="25" customHeight="1" s="76">
      <c r="A11" s="55" t="inlineStr">
        <is>
          <t>Top-2 by peak loss</t>
        </is>
      </c>
      <c r="B11" s="80" t="n">
        <v>2</v>
      </c>
      <c r="C11" s="80" t="inlineStr">
        <is>
          <t>89.5 ± 1.5</t>
        </is>
      </c>
      <c r="D11" s="80" t="inlineStr">
        <is>
          <t>89.0 ± 2.2</t>
        </is>
      </c>
      <c r="E11" s="80" t="inlineStr">
        <is>
          <t>94.5 ± 5.4</t>
        </is>
      </c>
      <c r="F11" s="80" t="inlineStr">
        <is>
          <t>92.9 ± 5.7</t>
        </is>
      </c>
      <c r="G11" s="80" t="inlineStr">
        <is>
          <t>99.9 ± 0.9</t>
        </is>
      </c>
      <c r="H11" s="80" t="inlineStr">
        <is>
          <t>99.9 ± 0.5</t>
        </is>
      </c>
      <c r="I11" s="80" t="inlineStr">
        <is>
          <t>94.4 ± 6.6</t>
        </is>
      </c>
      <c r="J11" s="80" t="inlineStr">
        <is>
          <t>94.5 ± 3.8</t>
        </is>
      </c>
      <c r="K11" s="80" t="inlineStr">
        <is>
          <t>97.6 ± 5.2</t>
        </is>
      </c>
      <c r="L11" s="80" t="inlineStr">
        <is>
          <t>97.7 ± 3.6</t>
        </is>
      </c>
    </row>
    <row r="12" ht="25" customHeight="1" s="76">
      <c r="A12" s="55" t="inlineStr">
        <is>
          <t>Top-3 by peak loss</t>
        </is>
      </c>
      <c r="B12" s="80" t="n">
        <v>3</v>
      </c>
      <c r="C12" s="69" t="inlineStr">
        <is>
          <t>89.8 ± 1.4</t>
        </is>
      </c>
      <c r="D12" s="69" t="inlineStr">
        <is>
          <t>89.5 ± 2.1</t>
        </is>
      </c>
      <c r="E12" s="69" t="inlineStr">
        <is>
          <t>95.7 ± 4.8</t>
        </is>
      </c>
      <c r="F12" s="69" t="inlineStr">
        <is>
          <t>93.3 ± 5.8</t>
        </is>
      </c>
      <c r="G12" s="69" t="inlineStr">
        <is>
          <t>99.9 ± 0.4</t>
        </is>
      </c>
      <c r="H12" s="69" t="inlineStr">
        <is>
          <t>99.8 ± 0.8</t>
        </is>
      </c>
      <c r="I12" s="69" t="inlineStr">
        <is>
          <t>95.1 ± 6.2</t>
        </is>
      </c>
      <c r="J12" s="69" t="inlineStr">
        <is>
          <t>94.7 ± 3.4</t>
        </is>
      </c>
      <c r="K12" s="69" t="inlineStr">
        <is>
          <t>98.2 ± 4.3</t>
        </is>
      </c>
      <c r="L12" s="69" t="inlineStr">
        <is>
          <t>98.4 ± 3.6</t>
        </is>
      </c>
    </row>
    <row r="13" ht="25" customHeight="1" s="76">
      <c r="A13" s="55" t="inlineStr">
        <is>
          <t>Top-5 by peak loss</t>
        </is>
      </c>
      <c r="B13" s="80" t="n">
        <v>5</v>
      </c>
      <c r="C13" s="80" t="inlineStr">
        <is>
          <t>89.8 ± 1.6</t>
        </is>
      </c>
      <c r="D13" s="80" t="inlineStr">
        <is>
          <t>89.1 ± 2.1</t>
        </is>
      </c>
      <c r="E13" s="80" t="inlineStr">
        <is>
          <t>95.4 ± 5.6</t>
        </is>
      </c>
      <c r="F13" s="80" t="inlineStr">
        <is>
          <t>93.5 ± 5.5</t>
        </is>
      </c>
      <c r="G13" s="80" t="inlineStr">
        <is>
          <t>99.9 ± 0.6</t>
        </is>
      </c>
      <c r="H13" s="80" t="inlineStr">
        <is>
          <t>99.9 ± 0.5</t>
        </is>
      </c>
      <c r="I13" s="80" t="inlineStr">
        <is>
          <t>95.3 ± 6.5</t>
        </is>
      </c>
      <c r="J13" s="80" t="inlineStr">
        <is>
          <t>94.5 ± 3.4</t>
        </is>
      </c>
      <c r="K13" s="80" t="inlineStr">
        <is>
          <t>98.3 ± 4.6</t>
        </is>
      </c>
      <c r="L13" s="80" t="inlineStr">
        <is>
          <t>98.3 ± 3.8</t>
        </is>
      </c>
    </row>
    <row r="14" ht="50" customHeight="1" s="76">
      <c r="A14" s="55" t="inlineStr">
        <is>
          <t>All failures in target cluster</t>
        </is>
      </c>
      <c r="B14" s="80" t="inlineStr">
        <is>
          <t>N</t>
        </is>
      </c>
      <c r="C14" s="80" t="inlineStr">
        <is>
          <t>89.0 ± 1.6</t>
        </is>
      </c>
      <c r="D14" s="80" t="inlineStr">
        <is>
          <t>88.8 ± 2.2</t>
        </is>
      </c>
      <c r="E14" s="80" t="inlineStr">
        <is>
          <t>93.9 ± 4.9</t>
        </is>
      </c>
      <c r="F14" s="80" t="inlineStr">
        <is>
          <t>92.3 ± 4.9</t>
        </is>
      </c>
      <c r="G14" s="80" t="inlineStr">
        <is>
          <t>99.8 ± 0.8</t>
        </is>
      </c>
      <c r="H14" s="80" t="inlineStr">
        <is>
          <t>99.9 ± 0.9</t>
        </is>
      </c>
      <c r="I14" s="80" t="inlineStr">
        <is>
          <t>94.5 ± 7.3</t>
        </is>
      </c>
      <c r="J14" s="80" t="inlineStr">
        <is>
          <t>93.5 ± 3.6</t>
        </is>
      </c>
      <c r="K14" s="80" t="inlineStr">
        <is>
          <t>97.6 ± 4.7</t>
        </is>
      </c>
      <c r="L14" s="80" t="inlineStr">
        <is>
          <t>97.1 ± 4.2</t>
        </is>
      </c>
    </row>
    <row r="15" ht="50" customHeight="1" s="76">
      <c r="A15" s="55" t="inlineStr">
        <is>
          <t>Random 3 from target cluster</t>
        </is>
      </c>
      <c r="B15" s="80" t="n">
        <v>3</v>
      </c>
      <c r="C15" s="80" t="inlineStr">
        <is>
          <t>89.2 ± 1.4</t>
        </is>
      </c>
      <c r="D15" s="80" t="inlineStr">
        <is>
          <t>88.7 ± 2.2</t>
        </is>
      </c>
      <c r="E15" s="80" t="inlineStr">
        <is>
          <t>93.9 ± 4.5</t>
        </is>
      </c>
      <c r="F15" s="80" t="inlineStr">
        <is>
          <t>91.8 ± 6.1</t>
        </is>
      </c>
      <c r="G15" s="80" t="inlineStr">
        <is>
          <t>99.9 ± 0.5</t>
        </is>
      </c>
      <c r="H15" s="80" t="inlineStr">
        <is>
          <t>99.9 ± 0.4</t>
        </is>
      </c>
      <c r="I15" s="80" t="inlineStr">
        <is>
          <t>94.0 ± 6.1</t>
        </is>
      </c>
      <c r="J15" s="80" t="inlineStr">
        <is>
          <t>93.6 ± 3.4</t>
        </is>
      </c>
      <c r="K15" s="80" t="inlineStr">
        <is>
          <t>97.2 ± 5.1</t>
        </is>
      </c>
      <c r="L15" s="80" t="inlineStr">
        <is>
          <t>96.7 ± 3.6</t>
        </is>
      </c>
    </row>
    <row r="17" ht="78" customHeight="1" s="76">
      <c r="A17" s="70" t="inlineStr">
        <is>
          <t>Full S — rep + worst-loss + FPS (current)</t>
        </is>
      </c>
      <c r="B17" s="71" t="inlineStr">
        <is>
          <t>current method (κ=3)</t>
        </is>
      </c>
    </row>
    <row r="18" ht="39" customHeight="1" s="76">
      <c r="A18" s="70" t="inlineStr">
        <is>
          <t>Top-1 by peak loss</t>
        </is>
      </c>
      <c r="B18" s="71" t="inlineStr">
        <is>
          <t xml:space="preserve">CONFOUNDED on all task: n=1 makes bridging impossible (needs ≥2 cited failures). </t>
        </is>
      </c>
    </row>
    <row r="19" ht="39" customHeight="1" s="76">
      <c r="A19" s="70" t="inlineStr">
        <is>
          <t>Top-2 by peak loss</t>
        </is>
      </c>
      <c r="B19" s="71" t="inlineStr">
        <is>
          <t>bridging possible again</t>
        </is>
      </c>
    </row>
    <row r="20" ht="39" customHeight="1" s="76">
      <c r="A20" s="70" t="inlineStr">
        <is>
          <t>Top-3 by peak loss</t>
        </is>
      </c>
      <c r="B20" s="71" t="inlineStr">
        <is>
          <t>THE key comparison vs Full S — if these tie, cut the FPS machinery</t>
        </is>
      </c>
    </row>
    <row r="21" ht="39" customHeight="1" s="76">
      <c r="A21" s="70" t="inlineStr">
        <is>
          <t>Top-5 by peak loss</t>
        </is>
      </c>
      <c r="B21" s="71" t="inlineStr">
        <is>
          <t>no gain over n=3 → justifies the κ=3 cap</t>
        </is>
      </c>
    </row>
    <row r="22" ht="52" customHeight="1" s="76">
      <c r="A22" s="70" t="inlineStr">
        <is>
          <t>All failures in target cluster</t>
        </is>
      </c>
      <c r="B22" s="71" t="inlineStr">
        <is>
          <t>prompt bloat; early rounds carry ~40 failures (D4)</t>
        </is>
      </c>
    </row>
    <row r="23" ht="52" customHeight="1" s="76">
      <c r="A23" s="70" t="inlineStr">
        <is>
          <t>Random 3 from target cluster</t>
        </is>
      </c>
      <c r="B23" s="71" t="inlineStr">
        <is>
          <t>floor control: does selection matter at all?</t>
        </is>
      </c>
    </row>
  </sheetData>
  <mergeCells count="10">
    <mergeCell ref="B21:L21"/>
    <mergeCell ref="B5:G5"/>
    <mergeCell ref="B23:L23"/>
    <mergeCell ref="B19:L19"/>
    <mergeCell ref="B20:L20"/>
    <mergeCell ref="B4:G4"/>
    <mergeCell ref="B22:L22"/>
    <mergeCell ref="B17:L17"/>
    <mergeCell ref="B18:L18"/>
    <mergeCell ref="B6:G6"/>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19"/>
  <sheetViews>
    <sheetView showGridLines="0" topLeftCell="A3" zoomScaleNormal="100" workbookViewId="0">
      <selection activeCell="J12" sqref="J12"/>
    </sheetView>
  </sheetViews>
  <sheetFormatPr baseColWidth="8" defaultColWidth="8.6328125" defaultRowHeight="14.5"/>
  <cols>
    <col width="15" customWidth="1" style="76" min="1" max="1"/>
    <col width="8" customWidth="1" style="76" min="2" max="2"/>
    <col width="24" customWidth="1" style="76" min="3" max="5"/>
  </cols>
  <sheetData>
    <row r="1" ht="18" customHeight="1" s="76">
      <c r="A1" s="35" t="inlineStr">
        <is>
          <t>D1 — Root-cause label purity per geometric cluster</t>
        </is>
      </c>
    </row>
    <row r="2">
      <c r="A2" s="36" t="inlineStr">
        <is>
          <t>Do the LLM root causes agree with the geometry-based clusters? (Q3 'semantically meaningful modes'.)</t>
        </is>
      </c>
    </row>
    <row r="4" ht="23.9" customHeight="1" s="76">
      <c r="A4" s="41" t="inlineStr">
        <is>
          <t>What is ablated</t>
        </is>
      </c>
      <c r="B4" s="26" t="inlineStr">
        <is>
          <t>For each cell: mean purity = fraction of a geometric cluster's failures sharing the LLM's dominant root cause; plus mean #distinct root causes per cluster.</t>
        </is>
      </c>
    </row>
    <row r="5" ht="35" customHeight="1" s="76">
      <c r="A5" s="41" t="inlineStr">
        <is>
          <t>Hypothesis (what should happen)</t>
        </is>
      </c>
      <c r="B5" s="26" t="inlineStr">
        <is>
          <t>Purity should be high on clean tasks (Push-T, Lift) and lower on hard/image cells — coherent but not perfect.</t>
        </is>
      </c>
    </row>
    <row r="6" ht="23.9" customHeight="1" s="76">
      <c r="A6" s="41" t="inlineStr">
        <is>
          <t>If the gap is ~0, it means</t>
        </is>
      </c>
      <c r="B6" s="26" t="inlineStr">
        <is>
          <t>Low purity anywhere means clusters mix root causes and the 'coherent, well-separated' caption is cherry-picked from the Push-T panel.</t>
        </is>
      </c>
      <c r="H6" s="58" t="n"/>
      <c r="I6" s="58" t="n"/>
      <c r="J6" s="58" t="n"/>
      <c r="K6" s="58" t="n"/>
      <c r="L6" s="58" t="n"/>
      <c r="M6" s="58" t="n"/>
      <c r="N6" s="58" t="n"/>
      <c r="O6" s="58" t="n"/>
      <c r="P6" s="58" t="n"/>
      <c r="Q6" s="58" t="n"/>
    </row>
    <row r="8">
      <c r="A8" s="37" t="inlineStr">
        <is>
          <t>Task</t>
        </is>
      </c>
      <c r="B8" s="37" t="inlineStr">
        <is>
          <t>Obs</t>
        </is>
      </c>
      <c r="C8" s="37" t="inlineStr">
        <is>
          <t>Mean cluster purity</t>
        </is>
      </c>
      <c r="D8" s="79" t="inlineStr">
        <is>
          <t>Mean #root-causes / cluster</t>
        </is>
      </c>
      <c r="E8" s="37" t="inlineStr">
        <is>
          <t>Mean silhouette</t>
        </is>
      </c>
    </row>
    <row r="9">
      <c r="A9" s="39" t="inlineStr">
        <is>
          <t>GridWorld 5x5</t>
        </is>
      </c>
      <c r="B9" s="38" t="inlineStr">
        <is>
          <t>state</t>
        </is>
      </c>
      <c r="C9" s="10" t="n">
        <v>0.91</v>
      </c>
      <c r="D9" s="10" t="n">
        <v>1.38</v>
      </c>
      <c r="E9" s="10" t="n">
        <v>0.61</v>
      </c>
    </row>
    <row r="10">
      <c r="A10" s="39" t="inlineStr">
        <is>
          <t>GridWorld 5x5</t>
        </is>
      </c>
      <c r="B10" s="38" t="inlineStr">
        <is>
          <t>image</t>
        </is>
      </c>
      <c r="C10" s="10" t="n">
        <v>0.89</v>
      </c>
      <c r="D10" s="10" t="n">
        <v>1.62</v>
      </c>
      <c r="E10" s="10" t="n">
        <v>0.58</v>
      </c>
    </row>
    <row r="11">
      <c r="A11" s="39" t="inlineStr">
        <is>
          <t>Push-T</t>
        </is>
      </c>
      <c r="B11" s="38" t="inlineStr">
        <is>
          <t>state</t>
        </is>
      </c>
      <c r="C11" s="10" t="n">
        <v>0.91</v>
      </c>
      <c r="D11" s="10" t="n">
        <v>1.35</v>
      </c>
      <c r="E11" s="10" t="n">
        <v>0.64</v>
      </c>
    </row>
    <row r="12">
      <c r="A12" s="39" t="inlineStr">
        <is>
          <t>Push-T</t>
        </is>
      </c>
      <c r="B12" s="38" t="inlineStr">
        <is>
          <t>image</t>
        </is>
      </c>
      <c r="C12" s="10" t="n">
        <v>0.9</v>
      </c>
      <c r="D12" s="10" t="n">
        <v>1.3</v>
      </c>
      <c r="E12" s="10" t="n">
        <v>0.61</v>
      </c>
    </row>
    <row r="13">
      <c r="A13" s="39" t="inlineStr">
        <is>
          <t>Lift</t>
        </is>
      </c>
      <c r="B13" s="38" t="inlineStr">
        <is>
          <t>state</t>
        </is>
      </c>
      <c r="C13" s="10" t="n">
        <v>0.93</v>
      </c>
      <c r="D13" s="10" t="n">
        <v>1.31</v>
      </c>
      <c r="E13" s="10" t="n">
        <v>0.52</v>
      </c>
    </row>
    <row r="14">
      <c r="A14" s="39" t="inlineStr">
        <is>
          <t>Lift</t>
        </is>
      </c>
      <c r="B14" s="38" t="inlineStr">
        <is>
          <t>image</t>
        </is>
      </c>
      <c r="C14" s="10" t="n">
        <v>0.92</v>
      </c>
      <c r="D14" s="10" t="n">
        <v>1.43</v>
      </c>
      <c r="E14" s="10" t="n">
        <v>0.49</v>
      </c>
    </row>
    <row r="15">
      <c r="A15" s="39" t="inlineStr">
        <is>
          <t>Wipe</t>
        </is>
      </c>
      <c r="B15" s="38" t="inlineStr">
        <is>
          <t>state</t>
        </is>
      </c>
      <c r="C15" s="10" t="n">
        <v>0.83</v>
      </c>
      <c r="D15" s="10" t="n">
        <v>1.78</v>
      </c>
      <c r="E15" s="10" t="n">
        <v>0.55</v>
      </c>
    </row>
    <row r="16">
      <c r="A16" s="39" t="inlineStr">
        <is>
          <t>Wipe</t>
        </is>
      </c>
      <c r="B16" s="38" t="inlineStr">
        <is>
          <t>image</t>
        </is>
      </c>
      <c r="C16" s="10" t="n">
        <v>0.78</v>
      </c>
      <c r="D16" s="10" t="n">
        <v>1.91</v>
      </c>
      <c r="E16" s="10" t="n">
        <v>0.53</v>
      </c>
    </row>
    <row r="17">
      <c r="A17" s="39" t="inlineStr">
        <is>
          <t>Door</t>
        </is>
      </c>
      <c r="B17" s="38" t="inlineStr">
        <is>
          <t>state</t>
        </is>
      </c>
      <c r="C17" s="10" t="n">
        <v>0.86</v>
      </c>
      <c r="D17" s="10" t="n">
        <v>1.71</v>
      </c>
      <c r="E17" s="10" t="n">
        <v>0.58</v>
      </c>
    </row>
    <row r="18">
      <c r="A18" s="39" t="inlineStr">
        <is>
          <t>Door</t>
        </is>
      </c>
      <c r="B18" s="38" t="inlineStr">
        <is>
          <t>image</t>
        </is>
      </c>
      <c r="C18" s="10" t="n">
        <v>0.84</v>
      </c>
      <c r="D18" s="10" t="n">
        <v>1.86</v>
      </c>
      <c r="E18" s="10" t="n">
        <v>0.5600000000000001</v>
      </c>
    </row>
    <row r="19" ht="22.4" customHeight="1" s="76">
      <c r="A19" s="28" t="n"/>
    </row>
  </sheetData>
  <mergeCells count="4">
    <mergeCell ref="B5:G5"/>
    <mergeCell ref="B6:G6"/>
    <mergeCell ref="B4:G4"/>
    <mergeCell ref="A19:E19"/>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I18"/>
  <sheetViews>
    <sheetView workbookViewId="0">
      <selection activeCell="K5" sqref="K5"/>
    </sheetView>
  </sheetViews>
  <sheetFormatPr baseColWidth="8" defaultRowHeight="14.5"/>
  <sheetData>
    <row r="1" ht="18" customHeight="1" s="76">
      <c r="A1" s="77" t="inlineStr">
        <is>
          <t>D2 — Distribution of chosen k⋆ across rounds — all 10 cells</t>
        </is>
      </c>
    </row>
    <row r="2">
      <c r="A2" s="78" t="inlineStr">
        <is>
          <t>Is k truly adaptive, or does silhouette just always pick 3?</t>
        </is>
      </c>
    </row>
    <row r="4" ht="26" customHeight="1" s="76">
      <c r="A4" s="82" t="inlineStr">
        <is>
          <t>What is ablated</t>
        </is>
      </c>
      <c r="B4" s="47" t="inlineStr">
        <is>
          <t>For every cell, how many rounds selected each k ∈ {2..6}, and how many skipped the sweep entirely (N ≤ 3 → each failure is its own cluster).</t>
        </is>
      </c>
    </row>
    <row r="5" ht="52" customHeight="1" s="76">
      <c r="A5" s="82" t="inlineStr">
        <is>
          <t>Hypothesis (what should happen)</t>
        </is>
      </c>
      <c r="B5" s="47" t="inlineStr">
        <is>
          <t>A real spread with a mode at 3 supports 'discovered modes'. Note the 'N ≤ 3 (skipped)' column is LARGE — as the policy improves, failures get rare, so clustering is inactive in many late rounds (cf. D4).</t>
        </is>
      </c>
    </row>
    <row r="6" ht="52" customHeight="1" s="76">
      <c r="A6" s="82" t="inlineStr">
        <is>
          <t>If the gap is ~0, it means</t>
        </is>
      </c>
      <c r="B6" s="47" t="inlineStr">
        <is>
          <t>If k=3 dominates overwhelmingly, adaptivity is theatre: Figure 5's k=3 is not a discovery and Eq 8 can be a constant. Cross-read with A14.</t>
        </is>
      </c>
    </row>
    <row r="8">
      <c r="A8" s="79" t="inlineStr">
        <is>
          <t>Task</t>
        </is>
      </c>
      <c r="B8" s="79" t="inlineStr">
        <is>
          <t>Obs</t>
        </is>
      </c>
      <c r="C8" s="79" t="inlineStr">
        <is>
          <t>Total rounds</t>
        </is>
      </c>
      <c r="D8" s="79" t="inlineStr">
        <is>
          <t>k=2</t>
        </is>
      </c>
      <c r="E8" s="79" t="inlineStr">
        <is>
          <t>k=3</t>
        </is>
      </c>
      <c r="F8" s="79" t="inlineStr">
        <is>
          <t>k=4</t>
        </is>
      </c>
      <c r="G8" s="79" t="inlineStr">
        <is>
          <t>k=5</t>
        </is>
      </c>
      <c r="H8" s="79" t="inlineStr">
        <is>
          <t>k=6</t>
        </is>
      </c>
      <c r="I8" s="79" t="inlineStr">
        <is>
          <t>N&lt;=3 (Rejected)</t>
        </is>
      </c>
    </row>
    <row r="9">
      <c r="A9" s="81" t="inlineStr">
        <is>
          <t>GridWorld 5x5</t>
        </is>
      </c>
      <c r="B9" s="80" t="inlineStr">
        <is>
          <t>state</t>
        </is>
      </c>
      <c r="C9" s="64">
        <f>D9+E9+F9+G9+H9</f>
        <v/>
      </c>
      <c r="D9" s="80" t="n">
        <v>27</v>
      </c>
      <c r="E9" s="65" t="n">
        <v>35</v>
      </c>
      <c r="F9" s="66" t="n">
        <v>38</v>
      </c>
      <c r="G9" s="80" t="n">
        <v>26</v>
      </c>
      <c r="H9" s="80" t="n">
        <v>23</v>
      </c>
      <c r="I9" s="67">
        <f>180-C9</f>
        <v/>
      </c>
    </row>
    <row r="10">
      <c r="A10" s="81" t="inlineStr">
        <is>
          <t>GridWorld 5x5</t>
        </is>
      </c>
      <c r="B10" s="80" t="inlineStr">
        <is>
          <t>image</t>
        </is>
      </c>
      <c r="C10" s="64">
        <f>D10+E10+F10+G10+H10</f>
        <v/>
      </c>
      <c r="D10" s="80" t="n">
        <v>19</v>
      </c>
      <c r="E10" s="68" t="n">
        <v>39</v>
      </c>
      <c r="F10" s="80" t="n">
        <v>35</v>
      </c>
      <c r="G10" s="80" t="n">
        <v>27</v>
      </c>
      <c r="H10" s="80" t="n">
        <v>23</v>
      </c>
      <c r="I10" s="67">
        <f>180-C10</f>
        <v/>
      </c>
    </row>
    <row r="11">
      <c r="A11" s="81" t="inlineStr">
        <is>
          <t>Push-T</t>
        </is>
      </c>
      <c r="B11" s="80" t="inlineStr">
        <is>
          <t>state</t>
        </is>
      </c>
      <c r="C11" s="64">
        <f>D11+E11+F11+G11+H11</f>
        <v/>
      </c>
      <c r="D11" s="80" t="n">
        <v>13</v>
      </c>
      <c r="E11" s="65" t="n">
        <v>23</v>
      </c>
      <c r="F11" s="66" t="n">
        <v>26</v>
      </c>
      <c r="G11" s="80" t="n">
        <v>15</v>
      </c>
      <c r="H11" s="80" t="n">
        <v>8</v>
      </c>
      <c r="I11" s="67">
        <f>100-C11</f>
        <v/>
      </c>
    </row>
    <row r="12">
      <c r="A12" s="81" t="inlineStr">
        <is>
          <t>Push-T</t>
        </is>
      </c>
      <c r="B12" s="80" t="inlineStr">
        <is>
          <t>image</t>
        </is>
      </c>
      <c r="C12" s="64">
        <f>D12+E12+F12+G12+H12</f>
        <v/>
      </c>
      <c r="D12" s="80" t="n">
        <v>13</v>
      </c>
      <c r="E12" s="65" t="n">
        <v>26</v>
      </c>
      <c r="F12" s="80" t="n">
        <v>25</v>
      </c>
      <c r="G12" s="80" t="n">
        <v>5</v>
      </c>
      <c r="H12" s="80" t="n">
        <v>2</v>
      </c>
      <c r="I12" s="67">
        <f>100-C12</f>
        <v/>
      </c>
    </row>
    <row r="13">
      <c r="A13" s="81" t="inlineStr">
        <is>
          <t>Lift</t>
        </is>
      </c>
      <c r="B13" s="80" t="inlineStr">
        <is>
          <t>state</t>
        </is>
      </c>
      <c r="C13" s="64">
        <f>D13+E13+F13+G13+H13</f>
        <v/>
      </c>
      <c r="D13" s="66" t="n">
        <v>21</v>
      </c>
      <c r="E13" s="65" t="n">
        <v>11</v>
      </c>
      <c r="F13" s="80" t="n">
        <v>16</v>
      </c>
      <c r="G13" s="80" t="n">
        <v>2</v>
      </c>
      <c r="H13" s="80" t="n">
        <v>19</v>
      </c>
      <c r="I13" s="67">
        <f>100-C13</f>
        <v/>
      </c>
    </row>
    <row r="14">
      <c r="A14" s="81" t="inlineStr">
        <is>
          <t>Lift</t>
        </is>
      </c>
      <c r="B14" s="80" t="inlineStr">
        <is>
          <t>image</t>
        </is>
      </c>
      <c r="C14" s="64">
        <f>D14+E14+F14+G14+H14</f>
        <v/>
      </c>
      <c r="D14" s="80" t="n">
        <v>13</v>
      </c>
      <c r="E14" s="65" t="n">
        <v>14</v>
      </c>
      <c r="F14" s="80" t="n">
        <v>17</v>
      </c>
      <c r="G14" s="66" t="n">
        <v>22</v>
      </c>
      <c r="H14" s="80" t="n">
        <v>11</v>
      </c>
      <c r="I14" s="67">
        <f>100-C14</f>
        <v/>
      </c>
    </row>
    <row r="15">
      <c r="A15" s="81" t="inlineStr">
        <is>
          <t>Wipe</t>
        </is>
      </c>
      <c r="B15" s="80" t="inlineStr">
        <is>
          <t>state</t>
        </is>
      </c>
      <c r="C15" s="64">
        <f>D15+E15+F15+G15+H15</f>
        <v/>
      </c>
      <c r="D15" s="80" t="n">
        <v>12</v>
      </c>
      <c r="E15" s="65" t="n">
        <v>19</v>
      </c>
      <c r="F15" s="66" t="n">
        <v>22</v>
      </c>
      <c r="G15" s="80" t="n">
        <v>16</v>
      </c>
      <c r="H15" s="80" t="n">
        <v>12</v>
      </c>
      <c r="I15" s="67">
        <f>100-C15</f>
        <v/>
      </c>
    </row>
    <row r="16">
      <c r="A16" s="81" t="inlineStr">
        <is>
          <t>Wipe</t>
        </is>
      </c>
      <c r="B16" s="80" t="inlineStr">
        <is>
          <t>image</t>
        </is>
      </c>
      <c r="C16" s="64">
        <f>D16+E16+F16+G16+H16</f>
        <v/>
      </c>
      <c r="D16" s="80" t="n">
        <v>13</v>
      </c>
      <c r="E16" s="68" t="n">
        <v>21</v>
      </c>
      <c r="F16" s="80" t="n">
        <v>13</v>
      </c>
      <c r="G16" s="80" t="n">
        <v>16</v>
      </c>
      <c r="H16" s="80" t="n">
        <v>12</v>
      </c>
      <c r="I16" s="67">
        <f>100-C16</f>
        <v/>
      </c>
    </row>
    <row r="17">
      <c r="A17" s="81" t="inlineStr">
        <is>
          <t>Door</t>
        </is>
      </c>
      <c r="B17" s="80" t="inlineStr">
        <is>
          <t>state</t>
        </is>
      </c>
      <c r="C17" s="64">
        <f>D17+E17+F17+G17+H17</f>
        <v/>
      </c>
      <c r="D17" s="80" t="n">
        <v>12</v>
      </c>
      <c r="E17" s="68" t="n">
        <v>18</v>
      </c>
      <c r="F17" s="80" t="n">
        <v>10</v>
      </c>
      <c r="G17" s="80" t="n">
        <v>14</v>
      </c>
      <c r="H17" s="80" t="n">
        <v>12</v>
      </c>
      <c r="I17" s="67">
        <f>100-C17</f>
        <v/>
      </c>
    </row>
    <row r="18">
      <c r="A18" s="81" t="inlineStr">
        <is>
          <t>Door</t>
        </is>
      </c>
      <c r="B18" s="80" t="inlineStr">
        <is>
          <t>image</t>
        </is>
      </c>
      <c r="C18" s="64">
        <f>D18+E18+F18+G18+H18</f>
        <v/>
      </c>
      <c r="D18" s="80" t="n">
        <v>14</v>
      </c>
      <c r="E18" s="65" t="n">
        <v>19</v>
      </c>
      <c r="F18" s="80" t="n">
        <v>11</v>
      </c>
      <c r="G18" s="66" t="n">
        <v>24</v>
      </c>
      <c r="H18" s="80" t="n">
        <v>12</v>
      </c>
      <c r="I18" s="67">
        <f>100-C18</f>
        <v/>
      </c>
    </row>
  </sheetData>
  <mergeCells count="3">
    <mergeCell ref="B5:G5"/>
    <mergeCell ref="B4:G4"/>
    <mergeCell ref="B6:G6"/>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19"/>
  <sheetViews>
    <sheetView showGridLines="0" zoomScaleNormal="100" workbookViewId="0">
      <selection activeCell="D16" sqref="D16"/>
    </sheetView>
  </sheetViews>
  <sheetFormatPr baseColWidth="8" defaultColWidth="8.6328125" defaultRowHeight="14.5"/>
  <cols>
    <col width="15" customWidth="1" style="76" min="1" max="1"/>
    <col width="8" customWidth="1" style="76" min="2" max="2"/>
    <col width="12" customWidth="1" style="76" min="3" max="4"/>
    <col width="36" customWidth="1" style="76" min="5" max="5"/>
  </cols>
  <sheetData>
    <row r="1" ht="18" customHeight="1" s="76">
      <c r="A1" s="35" t="inlineStr">
        <is>
          <t>D3 — Bridge vs targeted usage per task</t>
        </is>
      </c>
    </row>
    <row r="2">
      <c r="A2" s="36" t="inlineStr">
        <is>
          <t>How often is bridging actually chosen? Directly bounds what A7 can show.</t>
        </is>
      </c>
    </row>
    <row r="4" ht="15" customHeight="1" s="76">
      <c r="A4" s="41" t="inlineStr">
        <is>
          <t>What is ablated</t>
        </is>
      </c>
      <c r="B4" s="26" t="inlineStr">
        <is>
          <t>Per cell: share of accepted prescriptions that were bridging vs targeted (over all rounds × seeds).</t>
        </is>
      </c>
    </row>
    <row r="5" ht="35" customHeight="1" s="76">
      <c r="A5" s="41" t="inlineStr">
        <is>
          <t>Hypothesis (what should happen)</t>
        </is>
      </c>
      <c r="B5" s="26" t="inlineStr">
        <is>
          <t>Bridging in ~15-30% of rounds on pose-randomized tasks; exactly 0% on Wipe (path-randomized) and GridWorld (corridor).</t>
        </is>
      </c>
    </row>
    <row r="6" ht="23.9" customHeight="1" s="76">
      <c r="A6" s="41" t="inlineStr">
        <is>
          <t>If the gap is ~0, it means</t>
        </is>
      </c>
      <c r="B6" s="26" t="inlineStr">
        <is>
          <t>If bridging is &lt;10% everywhere, it is not a real contribution and A7 will (correctly) show ~0 effect.</t>
        </is>
      </c>
    </row>
    <row r="8">
      <c r="A8" s="37" t="inlineStr">
        <is>
          <t>Task</t>
        </is>
      </c>
      <c r="B8" s="37" t="inlineStr">
        <is>
          <t>Obs</t>
        </is>
      </c>
      <c r="C8" s="37" t="inlineStr">
        <is>
          <t>Targeted %</t>
        </is>
      </c>
      <c r="D8" s="37" t="inlineStr">
        <is>
          <t>Bridge %</t>
        </is>
      </c>
      <c r="E8" s="37" t="n"/>
    </row>
    <row r="9">
      <c r="A9" s="39" t="inlineStr">
        <is>
          <t>GridWorld 5x5</t>
        </is>
      </c>
      <c r="B9" s="38" t="inlineStr">
        <is>
          <t>state</t>
        </is>
      </c>
      <c r="C9" s="17" t="n">
        <v>70</v>
      </c>
      <c r="D9" s="17" t="n">
        <v>30</v>
      </c>
      <c r="E9" s="31" t="n"/>
    </row>
    <row r="10">
      <c r="A10" s="39" t="inlineStr">
        <is>
          <t>GridWorld 5x5</t>
        </is>
      </c>
      <c r="B10" s="38" t="inlineStr">
        <is>
          <t>image</t>
        </is>
      </c>
      <c r="C10" s="17" t="n">
        <v>76</v>
      </c>
      <c r="D10" s="17" t="n">
        <v>24</v>
      </c>
      <c r="E10" s="31" t="n"/>
    </row>
    <row r="11">
      <c r="A11" s="39" t="inlineStr">
        <is>
          <t>Push-T</t>
        </is>
      </c>
      <c r="B11" s="38" t="inlineStr">
        <is>
          <t>state</t>
        </is>
      </c>
      <c r="C11" s="17" t="n">
        <v>72</v>
      </c>
      <c r="D11" s="17" t="n">
        <v>28</v>
      </c>
      <c r="E11" s="31" t="n"/>
    </row>
    <row r="12">
      <c r="A12" s="39" t="inlineStr">
        <is>
          <t>Push-T</t>
        </is>
      </c>
      <c r="B12" s="38" t="inlineStr">
        <is>
          <t>image</t>
        </is>
      </c>
      <c r="C12" s="17" t="n">
        <v>81</v>
      </c>
      <c r="D12" s="17" t="n">
        <v>19</v>
      </c>
      <c r="E12" s="31" t="n"/>
    </row>
    <row r="13">
      <c r="A13" s="39" t="inlineStr">
        <is>
          <t>Lift</t>
        </is>
      </c>
      <c r="B13" s="38" t="inlineStr">
        <is>
          <t>state</t>
        </is>
      </c>
      <c r="C13" s="17" t="n">
        <v>82</v>
      </c>
      <c r="D13" s="17" t="n">
        <v>18</v>
      </c>
      <c r="E13" s="31" t="n"/>
    </row>
    <row r="14">
      <c r="A14" s="39" t="inlineStr">
        <is>
          <t>Lift</t>
        </is>
      </c>
      <c r="B14" s="38" t="inlineStr">
        <is>
          <t>image</t>
        </is>
      </c>
      <c r="C14" s="17" t="n">
        <v>81</v>
      </c>
      <c r="D14" s="17" t="n">
        <v>19</v>
      </c>
      <c r="E14" s="31" t="n"/>
    </row>
    <row r="15">
      <c r="A15" s="39" t="inlineStr">
        <is>
          <t>Wipe</t>
        </is>
      </c>
      <c r="B15" s="38" t="inlineStr">
        <is>
          <t>state</t>
        </is>
      </c>
      <c r="C15" s="17" t="n">
        <v>72</v>
      </c>
      <c r="D15" s="17" t="n">
        <v>28</v>
      </c>
      <c r="E15" s="31" t="n"/>
    </row>
    <row r="16">
      <c r="A16" s="39" t="inlineStr">
        <is>
          <t>Wipe</t>
        </is>
      </c>
      <c r="B16" s="38" t="inlineStr">
        <is>
          <t>image</t>
        </is>
      </c>
      <c r="C16" s="17" t="n">
        <v>73</v>
      </c>
      <c r="D16" s="17" t="n">
        <v>27</v>
      </c>
      <c r="E16" s="31" t="n"/>
    </row>
    <row r="17">
      <c r="A17" s="39" t="inlineStr">
        <is>
          <t>Door</t>
        </is>
      </c>
      <c r="B17" s="38" t="inlineStr">
        <is>
          <t>state</t>
        </is>
      </c>
      <c r="C17" s="17" t="n">
        <v>70</v>
      </c>
      <c r="D17" s="17" t="n">
        <v>30</v>
      </c>
      <c r="E17" s="31" t="n"/>
    </row>
    <row r="18">
      <c r="A18" s="39" t="inlineStr">
        <is>
          <t>Door</t>
        </is>
      </c>
      <c r="B18" s="38" t="inlineStr">
        <is>
          <t>image</t>
        </is>
      </c>
      <c r="C18" s="17" t="n">
        <v>79</v>
      </c>
      <c r="D18" s="17" t="n">
        <v>21</v>
      </c>
      <c r="E18" s="31" t="n"/>
    </row>
    <row r="19" ht="22.4" customHeight="1" s="76">
      <c r="A19" s="28" t="n"/>
    </row>
  </sheetData>
  <mergeCells count="4">
    <mergeCell ref="B5:G5"/>
    <mergeCell ref="B6:G6"/>
    <mergeCell ref="B4:G4"/>
    <mergeCell ref="A19:E19"/>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29"/>
  <sheetViews>
    <sheetView showGridLines="0" zoomScaleNormal="100" workbookViewId="0">
      <selection activeCell="F33" sqref="F33"/>
    </sheetView>
  </sheetViews>
  <sheetFormatPr baseColWidth="8" defaultColWidth="8.6328125" defaultRowHeight="14.5"/>
  <cols>
    <col width="10" customWidth="1" style="76" min="1" max="1"/>
    <col width="16" customWidth="1" style="76" min="2" max="2"/>
    <col width="24" customWidth="1" style="76" min="3" max="3"/>
  </cols>
  <sheetData>
    <row r="1" ht="18" customHeight="1" s="76">
      <c r="A1" s="35" t="inlineStr">
        <is>
          <t>D4 — Failures per round over the budget (Push-T image, mean over 5 seeds)</t>
        </is>
      </c>
    </row>
    <row r="2">
      <c r="A2" s="36" t="inlineStr">
        <is>
          <t>As the policy improves, failures get rare → clustering may be inactive in late rounds (N≤3 path).</t>
        </is>
      </c>
    </row>
    <row r="4" ht="23.9" customHeight="1" s="76">
      <c r="A4" s="41" t="inlineStr">
        <is>
          <t>What is ablated</t>
        </is>
      </c>
      <c r="B4" s="26" t="inlineStr">
        <is>
          <t>Mean failure count N per round r=1..20; flag rounds where N≤3 (clustering sweep skipped, each failure its own cluster).</t>
        </is>
      </c>
    </row>
    <row r="5" ht="46.25" customHeight="1" s="76">
      <c r="A5" s="41" t="inlineStr">
        <is>
          <t>Hypothesis (what should happen)</t>
        </is>
      </c>
      <c r="B5" s="26" t="inlineStr">
        <is>
          <t>N should fall over rounds; late rounds increasingly hit N≤3, so clustering+memory act mainly in early/mid training.</t>
        </is>
      </c>
    </row>
    <row r="6" ht="35" customHeight="1" s="76">
      <c r="A6" s="41" t="inlineStr">
        <is>
          <t>If the gap is ~0, it means</t>
        </is>
      </c>
      <c r="B6" s="26" t="inlineStr">
        <is>
          <t>If most late rounds have N≤3, the clustering story applies to early training only — a quiet but real seam.</t>
        </is>
      </c>
    </row>
    <row r="8">
      <c r="A8" s="37" t="inlineStr">
        <is>
          <t>Round r</t>
        </is>
      </c>
      <c r="B8" s="37" t="inlineStr">
        <is>
          <t>Mean failures N</t>
        </is>
      </c>
      <c r="C8" s="37" t="inlineStr">
        <is>
          <t>N ≤ 3 ? (sweep skipped)</t>
        </is>
      </c>
    </row>
    <row r="9">
      <c r="A9" s="38" t="n">
        <v>1</v>
      </c>
      <c r="B9" s="38" t="n">
        <v>42</v>
      </c>
      <c r="C9" s="38" t="n"/>
    </row>
    <row r="10">
      <c r="A10" s="38" t="n">
        <v>2</v>
      </c>
      <c r="B10" s="38" t="n">
        <v>38</v>
      </c>
      <c r="C10" s="38" t="n"/>
    </row>
    <row r="11">
      <c r="A11" s="38" t="n">
        <v>3</v>
      </c>
      <c r="B11" s="38" t="n">
        <v>35</v>
      </c>
      <c r="C11" s="38" t="n"/>
    </row>
    <row r="12">
      <c r="A12" s="38" t="n">
        <v>4</v>
      </c>
      <c r="B12" s="38" t="n">
        <v>31</v>
      </c>
      <c r="C12" s="38" t="n"/>
    </row>
    <row r="13">
      <c r="A13" s="38" t="n">
        <v>5</v>
      </c>
      <c r="B13" s="38" t="n">
        <v>29</v>
      </c>
      <c r="C13" s="38" t="n"/>
    </row>
    <row r="14">
      <c r="A14" s="38" t="n">
        <v>6</v>
      </c>
      <c r="B14" s="38" t="n">
        <v>26</v>
      </c>
      <c r="C14" s="38" t="n"/>
    </row>
    <row r="15">
      <c r="A15" s="38" t="n">
        <v>7</v>
      </c>
      <c r="B15" s="38" t="n">
        <v>24</v>
      </c>
      <c r="C15" s="38" t="n"/>
    </row>
    <row r="16">
      <c r="A16" s="38" t="n">
        <v>8</v>
      </c>
      <c r="B16" s="38" t="n">
        <v>21</v>
      </c>
      <c r="C16" s="38" t="n"/>
    </row>
    <row r="17">
      <c r="A17" s="38" t="n">
        <v>9</v>
      </c>
      <c r="B17" s="38" t="n">
        <v>18</v>
      </c>
      <c r="C17" s="38" t="n"/>
    </row>
    <row r="18">
      <c r="A18" s="38" t="n">
        <v>10</v>
      </c>
      <c r="B18" s="38" t="n">
        <v>16</v>
      </c>
      <c r="C18" s="38" t="n"/>
    </row>
    <row r="19">
      <c r="A19" s="38" t="n">
        <v>11</v>
      </c>
      <c r="B19" s="38" t="n">
        <v>14</v>
      </c>
      <c r="C19" s="38" t="n"/>
    </row>
    <row r="20">
      <c r="A20" s="38" t="n">
        <v>12</v>
      </c>
      <c r="B20" s="38" t="n">
        <v>11</v>
      </c>
      <c r="C20" s="38" t="n"/>
    </row>
    <row r="21">
      <c r="A21" s="38" t="n">
        <v>13</v>
      </c>
      <c r="B21" s="38" t="n">
        <v>9</v>
      </c>
      <c r="C21" s="38" t="n"/>
    </row>
    <row r="22">
      <c r="A22" s="38" t="n">
        <v>14</v>
      </c>
      <c r="B22" s="38" t="n">
        <v>7</v>
      </c>
      <c r="C22" s="38" t="n"/>
    </row>
    <row r="23">
      <c r="A23" s="38" t="n">
        <v>15</v>
      </c>
      <c r="B23" s="38" t="n">
        <v>6</v>
      </c>
      <c r="C23" s="38" t="n"/>
    </row>
    <row r="24">
      <c r="A24" s="38" t="n">
        <v>16</v>
      </c>
      <c r="B24" s="38" t="n">
        <v>5</v>
      </c>
      <c r="C24" s="38" t="n"/>
    </row>
    <row r="25">
      <c r="A25" s="38" t="n">
        <v>17</v>
      </c>
      <c r="B25" s="38" t="n">
        <v>4</v>
      </c>
      <c r="C25" s="38" t="n"/>
    </row>
    <row r="26">
      <c r="A26" s="38" t="n">
        <v>18</v>
      </c>
      <c r="B26" s="38" t="n">
        <v>3</v>
      </c>
      <c r="C26" s="18" t="inlineStr">
        <is>
          <t>yes</t>
        </is>
      </c>
    </row>
    <row r="27">
      <c r="A27" s="38" t="n">
        <v>19</v>
      </c>
      <c r="B27" s="38" t="n">
        <v>3</v>
      </c>
      <c r="C27" s="18" t="inlineStr">
        <is>
          <t>yes</t>
        </is>
      </c>
    </row>
    <row r="28">
      <c r="A28" s="38" t="n">
        <v>20</v>
      </c>
      <c r="B28" s="38" t="n">
        <v>2</v>
      </c>
      <c r="C28" s="18" t="inlineStr">
        <is>
          <t>yes</t>
        </is>
      </c>
    </row>
    <row r="29" ht="32.75" customHeight="1" s="76">
      <c r="A29" s="28" t="n"/>
    </row>
  </sheetData>
  <mergeCells count="4">
    <mergeCell ref="B5:G5"/>
    <mergeCell ref="B4:G4"/>
    <mergeCell ref="A29:C29"/>
    <mergeCell ref="B6:G6"/>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O52"/>
  <sheetViews>
    <sheetView showGridLines="0" zoomScaleNormal="100" workbookViewId="0">
      <selection activeCell="D15" sqref="D15"/>
    </sheetView>
  </sheetViews>
  <sheetFormatPr baseColWidth="8" defaultColWidth="8.6328125" defaultRowHeight="14.5"/>
  <cols>
    <col width="15" customWidth="1" style="76" min="1" max="1"/>
    <col width="8" customWidth="1" style="76" min="2" max="2"/>
    <col width="16" customWidth="1" style="76" min="3" max="7"/>
    <col width="21.36328125" bestFit="1" customWidth="1" style="76" min="8" max="8"/>
    <col width="26.54296875" bestFit="1" customWidth="1" style="76" min="9" max="9"/>
  </cols>
  <sheetData>
    <row r="1" ht="18" customHeight="1" s="76">
      <c r="A1" s="35" t="inlineStr">
        <is>
          <t>D5 — Wall-clock and token cost per round</t>
        </is>
      </c>
    </row>
    <row r="2">
      <c r="A2" s="36" t="inlineStr">
        <is>
          <t>You list per-round reasoning cost as a limitation — give the number before a reviewer asks.</t>
        </is>
      </c>
    </row>
    <row r="4" ht="23.9" customHeight="1" s="76">
      <c r="A4" s="41" t="inlineStr">
        <is>
          <t>What is ablated</t>
        </is>
      </c>
      <c r="B4" s="26" t="inlineStr">
        <is>
          <t>Per-round overhead of the DISTIL reasoning pipeline vs an uncertainty-gated baseline: seconds/round and VLM+LLM tokens/round.</t>
        </is>
      </c>
    </row>
    <row r="5" ht="35" customHeight="1" s="76">
      <c r="A5" s="41" t="inlineStr">
        <is>
          <t>Hypothesis (what should happen)</t>
        </is>
      </c>
      <c r="B5" s="26" t="inlineStr">
        <is>
          <t>DISTIL adds seconds and ~10-16k tokens per round; baselines incur ~0 foundation-model cost.</t>
        </is>
      </c>
    </row>
    <row r="6" ht="23.9" customHeight="1" s="76">
      <c r="A6" s="41" t="inlineStr">
        <is>
          <t>If the gap is ~0, it means</t>
        </is>
      </c>
      <c r="B6" s="26" t="inlineStr">
        <is>
          <t>A large overhead ratio for a few SR points is a real practicality objection — report it transparently.</t>
        </is>
      </c>
    </row>
    <row r="8">
      <c r="A8" s="37" t="inlineStr">
        <is>
          <t>Task</t>
        </is>
      </c>
      <c r="B8" s="37" t="inlineStr">
        <is>
          <t>Obs</t>
        </is>
      </c>
      <c r="C8" s="37" t="inlineStr">
        <is>
          <t>Baseline s/round</t>
        </is>
      </c>
      <c r="D8" s="37" t="inlineStr">
        <is>
          <t>DISTIL s/round</t>
        </is>
      </c>
      <c r="E8" s="37" t="inlineStr">
        <is>
          <t>VLM tokens/round</t>
        </is>
      </c>
      <c r="F8" s="37" t="inlineStr">
        <is>
          <t>LLM tokens/round</t>
        </is>
      </c>
      <c r="G8" s="37" t="inlineStr">
        <is>
          <t>Overhead ×</t>
        </is>
      </c>
      <c r="H8" s="72" t="inlineStr">
        <is>
          <t>KAG token contribution</t>
        </is>
      </c>
      <c r="I8" s="72" t="inlineStr">
        <is>
          <t>Reasoning LLM tokens/round</t>
        </is>
      </c>
    </row>
    <row r="9">
      <c r="A9" s="81" t="inlineStr">
        <is>
          <t>Door</t>
        </is>
      </c>
      <c r="B9" s="38" t="inlineStr">
        <is>
          <t>state</t>
        </is>
      </c>
      <c r="C9" s="16" t="n">
        <v>737</v>
      </c>
      <c r="D9" s="16" t="n">
        <v>1054</v>
      </c>
      <c r="E9" s="19" t="n">
        <v>3258</v>
      </c>
      <c r="F9" s="19" t="n">
        <v>8253</v>
      </c>
      <c r="G9" s="20" t="n">
        <v>1.43</v>
      </c>
      <c r="H9" t="n">
        <v>3200</v>
      </c>
      <c r="I9" t="n">
        <v>3486</v>
      </c>
    </row>
    <row r="10">
      <c r="A10" s="39" t="inlineStr">
        <is>
          <t>Push-T</t>
        </is>
      </c>
      <c r="B10" s="38" t="inlineStr">
        <is>
          <t>image</t>
        </is>
      </c>
      <c r="C10" s="16" t="n">
        <v>688</v>
      </c>
      <c r="D10" s="16" t="n">
        <v>1891</v>
      </c>
      <c r="E10" s="19" t="n">
        <v>17504</v>
      </c>
      <c r="F10" s="19" t="n">
        <v>64612</v>
      </c>
      <c r="G10" s="20" t="n">
        <v>2.75</v>
      </c>
      <c r="H10" t="n">
        <v>11464</v>
      </c>
      <c r="I10" t="n">
        <v>7214</v>
      </c>
    </row>
    <row r="11">
      <c r="A11" s="39" t="inlineStr">
        <is>
          <t>Wipe</t>
        </is>
      </c>
      <c r="B11" s="38" t="inlineStr">
        <is>
          <t>image</t>
        </is>
      </c>
      <c r="C11" s="16" t="n">
        <v>1468</v>
      </c>
      <c r="D11" s="16" t="n">
        <v>2195</v>
      </c>
      <c r="E11" s="19" t="n">
        <v>3228</v>
      </c>
      <c r="F11" s="19" t="n">
        <v>6332</v>
      </c>
      <c r="G11" s="20" t="n">
        <v>1.5</v>
      </c>
      <c r="H11" t="n">
        <v>2392</v>
      </c>
      <c r="I11" t="n">
        <v>2303</v>
      </c>
    </row>
    <row r="12">
      <c r="A12" s="39" t="inlineStr">
        <is>
          <t>Door</t>
        </is>
      </c>
      <c r="B12" s="38" t="inlineStr">
        <is>
          <t>image</t>
        </is>
      </c>
      <c r="C12" s="16" t="n">
        <v>1247</v>
      </c>
      <c r="D12" s="16" t="n">
        <v>1474</v>
      </c>
      <c r="E12" s="19" t="n">
        <v>3293</v>
      </c>
      <c r="F12" s="19" t="n">
        <v>8086</v>
      </c>
      <c r="G12" s="20" t="n">
        <v>1.18</v>
      </c>
      <c r="H12" t="n">
        <v>3200</v>
      </c>
      <c r="I12" t="n">
        <v>3004</v>
      </c>
    </row>
    <row r="13">
      <c r="A13" s="39" t="inlineStr">
        <is>
          <t>GridWorld 5x5</t>
        </is>
      </c>
      <c r="B13" s="38" t="inlineStr">
        <is>
          <t>image</t>
        </is>
      </c>
      <c r="C13" s="16" t="n">
        <v>54.6</v>
      </c>
      <c r="D13" s="16" t="n">
        <v>118</v>
      </c>
      <c r="E13" s="19" t="n">
        <v>1690</v>
      </c>
      <c r="F13" s="19" t="n">
        <v>8045</v>
      </c>
      <c r="G13" s="20" t="n">
        <v>2.16</v>
      </c>
      <c r="H13" t="n">
        <v>3460</v>
      </c>
      <c r="I13" t="n">
        <v>3055</v>
      </c>
    </row>
    <row r="14" ht="22.4" customHeight="1" s="76">
      <c r="A14" s="71" t="inlineStr">
        <is>
          <t>FILLED. Protocol P1 (first round of the run) — the only protocol available for all five settings, because Push-T and GridWorld were run at BUDGET=1. Baseline arm = SafeDAgger. See the two blocks below, and paper_aaai2027/COC_REPORT/build/d5_compute.md for the full caveats.</t>
        </is>
      </c>
    </row>
    <row r="16">
      <c r="A16" s="87" t="inlineStr">
        <is>
          <t>BLOCK 1 — Protocol P1: FIRST ROUND (apples-to-apples, all five settings)</t>
        </is>
      </c>
    </row>
    <row r="17">
      <c r="A17" s="87" t="inlineStr">
        <is>
          <t>Task</t>
        </is>
      </c>
      <c r="B17" s="87" t="inlineStr">
        <is>
          <t>Obs</t>
        </is>
      </c>
      <c r="C17" s="87" t="inlineStr">
        <is>
          <t>Baseline s/round</t>
        </is>
      </c>
      <c r="D17" s="87" t="inlineStr">
        <is>
          <t>DISTIL s/round</t>
        </is>
      </c>
      <c r="E17" s="87" t="inlineStr">
        <is>
          <t>VLM tokens/round</t>
        </is>
      </c>
      <c r="F17" s="87" t="inlineStr">
        <is>
          <t>LLM tokens/round</t>
        </is>
      </c>
      <c r="G17" s="87" t="inlineStr">
        <is>
          <t>Overhead ×</t>
        </is>
      </c>
      <c r="H17" s="87" t="inlineStr">
        <is>
          <t>KAG token contribution</t>
        </is>
      </c>
      <c r="I17" s="87" t="inlineStr">
        <is>
          <t>Reasoning LLM tokens/round</t>
        </is>
      </c>
      <c r="J17" s="87" t="inlineStr">
        <is>
          <t>DISTIL reasoning-only s/round (narrow)</t>
        </is>
      </c>
      <c r="K17" s="87" t="inlineStr">
        <is>
          <t>DISTIL reasoning-only s/round (wide)</t>
        </is>
      </c>
      <c r="L17" s="87" t="inlineStr">
        <is>
          <t>Baseline gate s/round</t>
        </is>
      </c>
      <c r="M17" s="87" t="inlineStr">
        <is>
          <t>Reasoning-only add-on s</t>
        </is>
      </c>
      <c r="N17" s="87" t="inlineStr">
        <is>
          <t>Shared train+eval s (both arms pay)</t>
        </is>
      </c>
      <c r="O17" s="87" t="inlineStr">
        <is>
          <t>Round measured</t>
        </is>
      </c>
    </row>
    <row r="18">
      <c r="A18" t="inlineStr">
        <is>
          <t>Door</t>
        </is>
      </c>
      <c r="B18" t="inlineStr">
        <is>
          <t>state</t>
        </is>
      </c>
      <c r="C18" t="n">
        <v>737</v>
      </c>
      <c r="D18" t="n">
        <v>1054</v>
      </c>
      <c r="E18" t="n">
        <v>3258</v>
      </c>
      <c r="F18" t="n">
        <v>8253</v>
      </c>
      <c r="G18" t="n">
        <v>1.43</v>
      </c>
      <c r="H18" t="n">
        <v>3200</v>
      </c>
      <c r="I18" t="n">
        <v>3486</v>
      </c>
      <c r="J18" t="n">
        <v>66</v>
      </c>
      <c r="K18" t="n">
        <v>271</v>
      </c>
      <c r="L18" t="n">
        <v>1</v>
      </c>
      <c r="M18" t="n">
        <v>270</v>
      </c>
      <c r="N18" t="n">
        <v>783</v>
      </c>
      <c r="O18" t="n">
        <v>0</v>
      </c>
    </row>
    <row r="19">
      <c r="A19" t="inlineStr">
        <is>
          <t>Push-T</t>
        </is>
      </c>
      <c r="B19" t="inlineStr">
        <is>
          <t>image</t>
        </is>
      </c>
      <c r="C19" t="n">
        <v>688</v>
      </c>
      <c r="D19" t="n">
        <v>1891</v>
      </c>
      <c r="E19" t="n">
        <v>17504</v>
      </c>
      <c r="F19" t="n">
        <v>64612</v>
      </c>
      <c r="G19" t="n">
        <v>2.75</v>
      </c>
      <c r="H19" t="n">
        <v>11464</v>
      </c>
      <c r="I19" t="n">
        <v>7214</v>
      </c>
      <c r="J19" t="n">
        <v>491.6</v>
      </c>
      <c r="K19" t="n">
        <v>1238.4</v>
      </c>
      <c r="L19" t="n">
        <v>6.3</v>
      </c>
      <c r="M19" t="n">
        <v>1232.1</v>
      </c>
      <c r="N19" t="n">
        <v>652.5</v>
      </c>
      <c r="O19" t="n">
        <v>1</v>
      </c>
    </row>
    <row r="20">
      <c r="A20" t="inlineStr">
        <is>
          <t>Wipe</t>
        </is>
      </c>
      <c r="B20" t="inlineStr">
        <is>
          <t>image</t>
        </is>
      </c>
      <c r="C20" t="n">
        <v>1468</v>
      </c>
      <c r="D20" t="n">
        <v>2195</v>
      </c>
      <c r="E20" t="n">
        <v>3228</v>
      </c>
      <c r="F20" t="n">
        <v>6332</v>
      </c>
      <c r="G20" t="n">
        <v>1.5</v>
      </c>
      <c r="H20" t="n">
        <v>2392</v>
      </c>
      <c r="I20" t="n">
        <v>2303</v>
      </c>
      <c r="J20" t="n">
        <v>273</v>
      </c>
      <c r="K20" t="n">
        <v>704</v>
      </c>
      <c r="L20" t="n">
        <v>4</v>
      </c>
      <c r="M20" t="n">
        <v>700</v>
      </c>
      <c r="N20" t="n">
        <v>1491</v>
      </c>
      <c r="O20" t="n">
        <v>0</v>
      </c>
    </row>
    <row r="21">
      <c r="A21" t="inlineStr">
        <is>
          <t>Door</t>
        </is>
      </c>
      <c r="B21" t="inlineStr">
        <is>
          <t>image</t>
        </is>
      </c>
      <c r="C21" t="n">
        <v>1247</v>
      </c>
      <c r="D21" t="n">
        <v>1474</v>
      </c>
      <c r="E21" t="n">
        <v>3293</v>
      </c>
      <c r="F21" t="n">
        <v>8086</v>
      </c>
      <c r="G21" t="n">
        <v>1.18</v>
      </c>
      <c r="H21" t="n">
        <v>3200</v>
      </c>
      <c r="I21" t="n">
        <v>3004</v>
      </c>
      <c r="J21" t="n">
        <v>93</v>
      </c>
      <c r="K21" t="n">
        <v>294</v>
      </c>
      <c r="L21" t="n">
        <v>1</v>
      </c>
      <c r="M21" t="n">
        <v>293</v>
      </c>
      <c r="N21" t="n">
        <v>1180</v>
      </c>
      <c r="O21" t="n">
        <v>0</v>
      </c>
    </row>
    <row r="22">
      <c r="A22" t="inlineStr">
        <is>
          <t>GridWorld 5x5</t>
        </is>
      </c>
      <c r="B22" t="inlineStr">
        <is>
          <t>image</t>
        </is>
      </c>
      <c r="C22" t="n">
        <v>54.6</v>
      </c>
      <c r="D22" t="n">
        <v>118</v>
      </c>
      <c r="E22" t="n">
        <v>1690</v>
      </c>
      <c r="F22" t="n">
        <v>8045</v>
      </c>
      <c r="G22" t="n">
        <v>2.16</v>
      </c>
      <c r="H22" t="n">
        <v>3460</v>
      </c>
      <c r="I22" t="n">
        <v>3055</v>
      </c>
      <c r="J22" t="n">
        <v>60.4</v>
      </c>
      <c r="K22" t="n">
        <v>65.5</v>
      </c>
      <c r="L22" t="n">
        <v>2.9</v>
      </c>
      <c r="M22" t="n">
        <v>62.6</v>
      </c>
      <c r="N22" t="n">
        <v>51.1</v>
      </c>
      <c r="O22" t="n">
        <v>0</v>
      </c>
    </row>
    <row r="24">
      <c r="A24" s="87" t="inlineStr">
        <is>
          <t>BLOCK 2 — Protocol P5: MEAN ± sample SD over the LLM-active rounds (BUDGET=5 RoboSuite runs only)</t>
        </is>
      </c>
    </row>
    <row r="25">
      <c r="A25" s="87" t="inlineStr">
        <is>
          <t>Task</t>
        </is>
      </c>
      <c r="B25" s="87" t="inlineStr">
        <is>
          <t>Obs</t>
        </is>
      </c>
      <c r="C25" s="87" t="inlineStr">
        <is>
          <t>Baseline s/round</t>
        </is>
      </c>
      <c r="D25" s="87" t="inlineStr">
        <is>
          <t>DISTIL s/round</t>
        </is>
      </c>
      <c r="E25" s="87" t="inlineStr">
        <is>
          <t>VLM tokens/round</t>
        </is>
      </c>
      <c r="F25" s="87" t="inlineStr">
        <is>
          <t>LLM tokens/round</t>
        </is>
      </c>
      <c r="G25" s="87" t="inlineStr">
        <is>
          <t>Overhead ×</t>
        </is>
      </c>
      <c r="H25" s="87" t="inlineStr">
        <is>
          <t>KAG token contribution</t>
        </is>
      </c>
      <c r="I25" s="87" t="inlineStr">
        <is>
          <t>Reasoning LLM tokens/round</t>
        </is>
      </c>
      <c r="J25" s="87" t="inlineStr">
        <is>
          <t>DISTIL reasoning-only s/round (narrow)</t>
        </is>
      </c>
      <c r="K25" s="87" t="inlineStr">
        <is>
          <t>DISTIL reasoning-only s/round (wide)</t>
        </is>
      </c>
      <c r="L25" s="87" t="inlineStr">
        <is>
          <t>Baseline gate s/round</t>
        </is>
      </c>
      <c r="M25" s="87" t="inlineStr">
        <is>
          <t>Reasoning-only add-on s</t>
        </is>
      </c>
      <c r="N25" s="87" t="inlineStr">
        <is>
          <t>Shared train+eval s (both arms pay)</t>
        </is>
      </c>
      <c r="O25" s="87" t="inlineStr">
        <is>
          <t>n rounds averaged</t>
        </is>
      </c>
    </row>
    <row r="26">
      <c r="A26" t="inlineStr">
        <is>
          <t>Door</t>
        </is>
      </c>
      <c r="B26" t="inlineStr">
        <is>
          <t>state</t>
        </is>
      </c>
      <c r="C26" t="inlineStr">
        <is>
          <t>532.6 ± 145.5</t>
        </is>
      </c>
      <c r="D26" t="inlineStr">
        <is>
          <t>782.6 ± 183.5</t>
        </is>
      </c>
      <c r="E26" t="inlineStr">
        <is>
          <t>3,285 ± 22</t>
        </is>
      </c>
      <c r="F26" t="inlineStr">
        <is>
          <t>7,644 ± 573</t>
        </is>
      </c>
      <c r="G26" t="n">
        <v>1.47</v>
      </c>
      <c r="H26" t="n">
        <v>3200</v>
      </c>
      <c r="I26" t="inlineStr">
        <is>
          <t>2,712 ± 630</t>
        </is>
      </c>
      <c r="J26" t="n">
        <v>76.2</v>
      </c>
      <c r="K26" t="n">
        <v>234.8</v>
      </c>
      <c r="L26" t="n">
        <v>2</v>
      </c>
      <c r="M26" t="n">
        <v>232.8</v>
      </c>
      <c r="N26" t="n">
        <v>547.8</v>
      </c>
      <c r="O26" t="n">
        <v>5</v>
      </c>
    </row>
    <row r="27">
      <c r="A27" t="inlineStr">
        <is>
          <t>Push-T</t>
        </is>
      </c>
      <c r="B27" t="inlineStr">
        <is>
          <t>image</t>
        </is>
      </c>
      <c r="C27" t="inlineStr">
        <is>
          <t>UNMEASURED</t>
        </is>
      </c>
      <c r="D27" t="inlineStr">
        <is>
          <t>UNMEASURED</t>
        </is>
      </c>
      <c r="E27" t="inlineStr">
        <is>
          <t>UNMEASURED</t>
        </is>
      </c>
      <c r="F27" t="inlineStr">
        <is>
          <t>UNMEASURED</t>
        </is>
      </c>
      <c r="G27" t="inlineStr">
        <is>
          <t>UNMEASURED</t>
        </is>
      </c>
      <c r="H27" t="inlineStr">
        <is>
          <t>UNMEASURED</t>
        </is>
      </c>
      <c r="I27" t="inlineStr">
        <is>
          <t>UNMEASURED</t>
        </is>
      </c>
      <c r="J27" t="inlineStr">
        <is>
          <t>UNMEASURED</t>
        </is>
      </c>
      <c r="K27" t="inlineStr">
        <is>
          <t>UNMEASURED</t>
        </is>
      </c>
      <c r="L27" t="inlineStr">
        <is>
          <t>UNMEASURED</t>
        </is>
      </c>
      <c r="M27" t="inlineStr">
        <is>
          <t>UNMEASURED</t>
        </is>
      </c>
      <c r="N27" t="inlineStr">
        <is>
          <t>UNMEASURED</t>
        </is>
      </c>
      <c r="O27" t="inlineStr">
        <is>
          <t>BUDGET=1 by instruction: only one round exists, so no mean and no spread</t>
        </is>
      </c>
    </row>
    <row r="28">
      <c r="A28" t="inlineStr">
        <is>
          <t>Wipe</t>
        </is>
      </c>
      <c r="B28" t="inlineStr">
        <is>
          <t>image</t>
        </is>
      </c>
      <c r="C28" t="inlineStr">
        <is>
          <t>1,303.3 ± 144.1</t>
        </is>
      </c>
      <c r="D28" t="inlineStr">
        <is>
          <t>1,991.0 ± 179.2</t>
        </is>
      </c>
      <c r="E28" t="inlineStr">
        <is>
          <t>3,239 ± 12</t>
        </is>
      </c>
      <c r="F28" t="inlineStr">
        <is>
          <t>6,879 ± 903</t>
        </is>
      </c>
      <c r="G28" t="n">
        <v>1.53</v>
      </c>
      <c r="H28" t="n">
        <v>2392</v>
      </c>
      <c r="I28" t="inlineStr">
        <is>
          <t>2,909 ± 978</t>
        </is>
      </c>
      <c r="J28" t="n">
        <v>231.7</v>
      </c>
      <c r="K28" t="n">
        <v>658.3</v>
      </c>
      <c r="L28" t="n">
        <v>2.7</v>
      </c>
      <c r="M28" t="n">
        <v>655.7</v>
      </c>
      <c r="N28" t="n">
        <v>1332.7</v>
      </c>
      <c r="O28" t="n">
        <v>3</v>
      </c>
    </row>
    <row r="29">
      <c r="A29" t="inlineStr">
        <is>
          <t>Door</t>
        </is>
      </c>
      <c r="B29" t="inlineStr">
        <is>
          <t>image</t>
        </is>
      </c>
      <c r="C29" t="inlineStr">
        <is>
          <t>1,034.2 ± 150.2</t>
        </is>
      </c>
      <c r="D29" t="inlineStr">
        <is>
          <t>1,168.8 ± 194.8</t>
        </is>
      </c>
      <c r="E29" t="inlineStr">
        <is>
          <t>3,292 ± 9</t>
        </is>
      </c>
      <c r="F29" t="inlineStr">
        <is>
          <t>7,495 ± 838</t>
        </is>
      </c>
      <c r="G29" t="n">
        <v>1.13</v>
      </c>
      <c r="H29" t="n">
        <v>3200</v>
      </c>
      <c r="I29" t="inlineStr">
        <is>
          <t>2,561 ± 917</t>
        </is>
      </c>
      <c r="J29" t="n">
        <v>86.2</v>
      </c>
      <c r="K29" t="n">
        <v>267.2</v>
      </c>
      <c r="L29" t="n">
        <v>1</v>
      </c>
      <c r="M29" t="n">
        <v>266.2</v>
      </c>
      <c r="N29" t="n">
        <v>901.6</v>
      </c>
      <c r="O29" t="n">
        <v>5</v>
      </c>
    </row>
    <row r="30">
      <c r="A30" t="inlineStr">
        <is>
          <t>GridWorld 5x5</t>
        </is>
      </c>
      <c r="B30" t="inlineStr">
        <is>
          <t>image</t>
        </is>
      </c>
      <c r="C30" t="inlineStr">
        <is>
          <t>UNMEASURED</t>
        </is>
      </c>
      <c r="D30" t="inlineStr">
        <is>
          <t>UNMEASURED</t>
        </is>
      </c>
      <c r="E30" t="inlineStr">
        <is>
          <t>UNMEASURED</t>
        </is>
      </c>
      <c r="F30" t="inlineStr">
        <is>
          <t>UNMEASURED</t>
        </is>
      </c>
      <c r="G30" t="inlineStr">
        <is>
          <t>UNMEASURED</t>
        </is>
      </c>
      <c r="H30" t="inlineStr">
        <is>
          <t>UNMEASURED</t>
        </is>
      </c>
      <c r="I30" t="inlineStr">
        <is>
          <t>UNMEASURED</t>
        </is>
      </c>
      <c r="J30" t="inlineStr">
        <is>
          <t>UNMEASURED</t>
        </is>
      </c>
      <c r="K30" t="inlineStr">
        <is>
          <t>UNMEASURED</t>
        </is>
      </c>
      <c r="L30" t="inlineStr">
        <is>
          <t>UNMEASURED</t>
        </is>
      </c>
      <c r="M30" t="inlineStr">
        <is>
          <t>UNMEASURED</t>
        </is>
      </c>
      <c r="N30" t="inlineStr">
        <is>
          <t>UNMEASURED</t>
        </is>
      </c>
      <c r="O30" t="inlineStr">
        <is>
          <t>BUDGET=1 by instruction: only one round exists, so no mean and no spread</t>
        </is>
      </c>
    </row>
    <row r="32">
      <c r="A32" s="87" t="inlineStr">
        <is>
          <t>CAVEATS</t>
        </is>
      </c>
    </row>
    <row r="33">
      <c r="A33" t="inlineStr">
        <is>
          <t>READ BEFORE QUOTING ANY NUMBER</t>
        </is>
      </c>
    </row>
    <row r="34">
      <c r="A34" t="inlineStr">
        <is>
          <t>Baseline arm = SafeDAgger (ablation=safe), matching the three RoboSuite D5 jobs.</t>
        </is>
      </c>
    </row>
    <row r="35">
      <c r="A35" t="inlineStr">
        <is>
          <t>P1 = the FIRST round of the run: round 0 for the distil module (Door/Wipe/GridWorld, 0-indexed) and round 1 for the fork's 1-indexed Push-T loop. It is the WORST case (weakest policy -&gt; most failures -&gt; most analysis), so every DISTIL figure under P1 is an UPPER BOUND on steady-state per-round cost, not an average.</t>
        </is>
      </c>
    </row>
    <row r="36">
      <c r="A36" t="inlineStr">
        <is>
          <t>P5 = mean ± sample SD over the LLM-active rounds (0..4) of the BUDGET=5 RoboSuite runs, matched arm-for-arm against the baseline's same-indexed rounds. The terminal eval-only round 5 is excluded from BOTH arms. Push-T and GridWorld have no P5: they were run at BUDGET=1 by the author's explicit instruction.</t>
        </is>
      </c>
    </row>
    <row r="37">
      <c r="A37" t="inlineStr">
        <is>
          <t>Overhead × is close to 1 on the RoboSuite tasks and UNDERSTATES the picture: a round's wall-clock is dominated by the from-scratch policy RETRAIN plus the 100-episode held-out EVAL, and BOTH arms pay all of it (the 'Shared train+eval s' column). The honest characterisation of DISTIL's cost is the reasoning-only add-on, in seconds and in tokens, not the ratio.</t>
        </is>
      </c>
    </row>
    <row r="38">
      <c r="A38" t="inlineStr">
        <is>
          <t>reasoning-only NARROW = clustering + VLM + reasoning LLM + prescription + feasibility. It EXCLUDES the failure-screening rollout. The baseline does none of this work.</t>
        </is>
      </c>
    </row>
    <row r="39">
      <c r="A39" t="inlineStr">
        <is>
          <t>reasoning-only WIDE = NARROW + the failure-screening rollout, i.e. every DISTIL-specific stage (the whole round minus the shared train+eval). The add-on column is WIDE minus the baseline's gate rollout.</t>
        </is>
      </c>
    </row>
    <row r="40">
      <c r="A40" t="inlineStr">
        <is>
          <t>Reasoning LLM tokens = hidden thinking tokens billed in the completion, ALL stages. Push-T's 7,214 is its all-stage total; the 5,612 quoted in the Push-T source doc is the Reasoning stage alone and is NOT comparable with the other rows.</t>
        </is>
      </c>
    </row>
    <row r="41">
      <c r="A41" t="inlineStr">
        <is>
          <t>Token counts are NOT comparable across rows: different backends (OpenRouter qwen/qwen3-32b for Door/Wipe/GridWorld; local vLLM qwen3-32b + qwen3-vl-32b for Push-T), different prompt sizes, different tasks.</t>
        </is>
      </c>
    </row>
    <row r="42">
      <c r="A42" t="inlineStr">
        <is>
          <t>Single seed (seed 1) throughout. The SD in Block 2 is the round-to-round spread WITHIN one run, not a seed-to-seed spread.</t>
        </is>
      </c>
    </row>
    <row r="44">
      <c r="A44" s="87" t="inlineStr">
        <is>
          <t>PROVENANCE</t>
        </is>
      </c>
    </row>
    <row r="45">
      <c r="A45" t="inlineStr">
        <is>
          <t>Door / state: DISTIL job 110355 / SafeDAgger job 110356</t>
        </is>
      </c>
    </row>
    <row r="46">
      <c r="A46" t="inlineStr">
        <is>
          <t>Push-T / image: DISTIL job 110375 / SafeDAgger job 110376</t>
        </is>
      </c>
    </row>
    <row r="47">
      <c r="A47" t="inlineStr">
        <is>
          <t>Wipe / image: DISTIL job 110359 / SafeDAgger job 110360</t>
        </is>
      </c>
    </row>
    <row r="48">
      <c r="A48" t="inlineStr">
        <is>
          <t>Door / image: DISTIL job 110357 / SafeDAgger job 110358</t>
        </is>
      </c>
    </row>
    <row r="49">
      <c r="A49" t="inlineStr">
        <is>
          <t>GridWorld 5x5 / image: DISTIL job 110384 / SafeDAgger job 110385</t>
        </is>
      </c>
    </row>
    <row r="50">
      <c r="A50" t="inlineStr">
        <is>
          <t>Stage spans reconstructed from run.log timestamps and CHECKED against result.json history[].sec (agreement within 1 s on all 24+ completed rounds).</t>
        </is>
      </c>
    </row>
    <row r="51">
      <c r="A51" t="inlineStr">
        <is>
          <t>Scripts: distil/scripts/parse_d5_stages.py -&gt; merge_d5_compute.py -&gt; write_d5_outputs.py</t>
        </is>
      </c>
    </row>
    <row r="52">
      <c r="A52" t="inlineStr">
        <is>
          <t>Generated 2026-07-13 19:01</t>
        </is>
      </c>
    </row>
  </sheetData>
  <mergeCells count="4">
    <mergeCell ref="B5:G5"/>
    <mergeCell ref="B4:G4"/>
    <mergeCell ref="A14:G14"/>
    <mergeCell ref="B6:G6"/>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G41"/>
  <sheetViews>
    <sheetView showGridLines="0" topLeftCell="A7" zoomScaleNormal="100" workbookViewId="0">
      <selection activeCell="D32" sqref="D32"/>
    </sheetView>
  </sheetViews>
  <sheetFormatPr baseColWidth="8" defaultColWidth="8.6328125" defaultRowHeight="14.5"/>
  <cols>
    <col width="28" customWidth="1" style="76" min="1" max="1"/>
    <col width="8" customWidth="1" style="76" min="2" max="2"/>
    <col width="16" customWidth="1" style="76" min="3" max="3"/>
    <col width="17.7265625" bestFit="1" customWidth="1" style="76" min="4" max="4"/>
    <col width="16" customWidth="1" style="76" min="5" max="6"/>
  </cols>
  <sheetData>
    <row r="1" ht="18" customHeight="1" s="76">
      <c r="A1" s="35" t="inlineStr">
        <is>
          <t>S1 — Aggregate significance: sign test / Wilcoxon over the 10 paired means</t>
        </is>
      </c>
    </row>
    <row r="2">
      <c r="A2" s="36" t="inlineStr">
        <is>
          <t>Converts '10/10 with overlapping error bars' into a statement about the ranking pattern.</t>
        </is>
      </c>
    </row>
    <row r="4" ht="23.9" customHeight="1" s="76">
      <c r="A4" s="41" t="inlineStr">
        <is>
          <t>What is ablated</t>
        </is>
      </c>
      <c r="B4" s="26" t="inlineStr">
        <is>
          <t>Pair DISTIL vs the best baseline in each of the 10 cells; test the null that DISTIL is not systematically higher (coin-flip ranking).</t>
        </is>
      </c>
    </row>
    <row r="5" ht="23.9" customHeight="1" s="76">
      <c r="A5" s="41" t="inlineStr">
        <is>
          <t>Hypothesis (what should happen)</t>
        </is>
      </c>
      <c r="B5" s="26" t="inlineStr">
        <is>
          <t>A 10/10 sweep gives one-sided sign-test p = 0.5^10 ≈ 0.001; the Wilcoxon signed-rank over the 10 paired differences is the stronger version.</t>
        </is>
      </c>
    </row>
    <row r="6" ht="15" customHeight="1" s="76">
      <c r="A6" s="41" t="inlineStr">
        <is>
          <t>If the gap is ~0, it means</t>
        </is>
      </c>
      <c r="B6" s="26" t="inlineStr">
        <is>
          <t>Not applicable — this is the defense, not a claim to defeat. Report it in the Q1 text.</t>
        </is>
      </c>
    </row>
    <row r="8">
      <c r="A8" s="37" t="inlineStr">
        <is>
          <t>Task</t>
        </is>
      </c>
      <c r="B8" s="37" t="inlineStr">
        <is>
          <t>Obs</t>
        </is>
      </c>
      <c r="C8" s="37" t="inlineStr">
        <is>
          <t>DISTIL mean</t>
        </is>
      </c>
      <c r="D8" s="37" t="inlineStr">
        <is>
          <t>Best baseline mean</t>
        </is>
      </c>
      <c r="E8" s="37" t="inlineStr">
        <is>
          <t>Δ (DISTIL−best)</t>
        </is>
      </c>
      <c r="F8" s="37" t="inlineStr">
        <is>
          <t>DISTIL wins?</t>
        </is>
      </c>
    </row>
    <row r="9">
      <c r="A9" s="39" t="inlineStr">
        <is>
          <t>GridWorld 5x5</t>
        </is>
      </c>
      <c r="B9" s="38" t="inlineStr">
        <is>
          <t>state</t>
        </is>
      </c>
      <c r="C9" s="21" t="n">
        <v>89.90000000000001</v>
      </c>
      <c r="D9" s="16" t="n">
        <v>86.8</v>
      </c>
      <c r="E9" s="42">
        <f>C9-D9</f>
        <v/>
      </c>
      <c r="F9" s="38">
        <f>IF(C9&gt;D9,1,0)</f>
        <v/>
      </c>
    </row>
    <row r="10">
      <c r="A10" s="39" t="inlineStr">
        <is>
          <t>GridWorld 5x5</t>
        </is>
      </c>
      <c r="B10" s="38" t="inlineStr">
        <is>
          <t>image</t>
        </is>
      </c>
      <c r="C10" s="21" t="n">
        <v>89.59999999999999</v>
      </c>
      <c r="D10" s="16" t="n">
        <v>87.09999999999999</v>
      </c>
      <c r="E10" s="42">
        <f>C10-D10</f>
        <v/>
      </c>
      <c r="F10" s="38">
        <f>IF(C10&gt;D10,1,0)</f>
        <v/>
      </c>
    </row>
    <row r="11">
      <c r="A11" s="39" t="inlineStr">
        <is>
          <t>Push-T</t>
        </is>
      </c>
      <c r="B11" s="38" t="inlineStr">
        <is>
          <t>state</t>
        </is>
      </c>
      <c r="C11" s="21" t="n">
        <v>96.09999999999999</v>
      </c>
      <c r="D11" s="16" t="n">
        <v>90.7</v>
      </c>
      <c r="E11" s="42">
        <f>C11-D11</f>
        <v/>
      </c>
      <c r="F11" s="38">
        <f>IF(C11&gt;D11,1,0)</f>
        <v/>
      </c>
    </row>
    <row r="12">
      <c r="A12" s="39" t="inlineStr">
        <is>
          <t>Push-T</t>
        </is>
      </c>
      <c r="B12" s="38" t="inlineStr">
        <is>
          <t>image</t>
        </is>
      </c>
      <c r="C12" s="21" t="n">
        <v>93.90000000000001</v>
      </c>
      <c r="D12" s="16" t="n">
        <v>89</v>
      </c>
      <c r="E12" s="42">
        <f>C12-D12</f>
        <v/>
      </c>
      <c r="F12" s="38">
        <f>IF(C12&gt;D12,1,0)</f>
        <v/>
      </c>
    </row>
    <row r="13">
      <c r="A13" s="39" t="inlineStr">
        <is>
          <t>Lift</t>
        </is>
      </c>
      <c r="B13" s="38" t="inlineStr">
        <is>
          <t>state</t>
        </is>
      </c>
      <c r="C13" s="21" t="n">
        <v>100</v>
      </c>
      <c r="D13" s="16" t="n">
        <v>99.2</v>
      </c>
      <c r="E13" s="42">
        <f>C13-D13</f>
        <v/>
      </c>
      <c r="F13" s="38">
        <f>IF(C13&gt;D13,1,0)</f>
        <v/>
      </c>
    </row>
    <row r="14">
      <c r="A14" s="39" t="inlineStr">
        <is>
          <t>Lift</t>
        </is>
      </c>
      <c r="B14" s="38" t="inlineStr">
        <is>
          <t>image</t>
        </is>
      </c>
      <c r="C14" s="21" t="n">
        <v>100</v>
      </c>
      <c r="D14" s="16" t="n">
        <v>99.59999999999999</v>
      </c>
      <c r="E14" s="42">
        <f>C14-D14</f>
        <v/>
      </c>
      <c r="F14" s="38">
        <f>IF(C14&gt;D14,1,0)</f>
        <v/>
      </c>
    </row>
    <row r="15">
      <c r="A15" s="39" t="inlineStr">
        <is>
          <t>Wipe</t>
        </is>
      </c>
      <c r="B15" s="38" t="inlineStr">
        <is>
          <t>state</t>
        </is>
      </c>
      <c r="C15" s="21" t="n">
        <v>95.5</v>
      </c>
      <c r="D15" s="16" t="n">
        <v>90.8</v>
      </c>
      <c r="E15" s="42">
        <f>C15-D15</f>
        <v/>
      </c>
      <c r="F15" s="38">
        <f>IF(C15&gt;D15,1,0)</f>
        <v/>
      </c>
    </row>
    <row r="16">
      <c r="A16" s="39" t="inlineStr">
        <is>
          <t>Wipe</t>
        </is>
      </c>
      <c r="B16" s="38" t="inlineStr">
        <is>
          <t>image</t>
        </is>
      </c>
      <c r="C16" s="21" t="n">
        <v>95.3</v>
      </c>
      <c r="D16" s="16" t="n">
        <v>89.59999999999999</v>
      </c>
      <c r="E16" s="42">
        <f>C16-D16</f>
        <v/>
      </c>
      <c r="F16" s="38">
        <f>IF(C16&gt;D16,1,0)</f>
        <v/>
      </c>
    </row>
    <row r="17">
      <c r="A17" s="39" t="inlineStr">
        <is>
          <t>Door</t>
        </is>
      </c>
      <c r="B17" s="38" t="inlineStr">
        <is>
          <t>state</t>
        </is>
      </c>
      <c r="C17" s="21" t="n">
        <v>98.40000000000001</v>
      </c>
      <c r="D17" s="16" t="n">
        <v>95.2</v>
      </c>
      <c r="E17" s="42">
        <f>C17-D17</f>
        <v/>
      </c>
      <c r="F17" s="38">
        <f>IF(C17&gt;D17,1,0)</f>
        <v/>
      </c>
    </row>
    <row r="18">
      <c r="A18" s="39" t="inlineStr">
        <is>
          <t>Door</t>
        </is>
      </c>
      <c r="B18" s="38" t="inlineStr">
        <is>
          <t>image</t>
        </is>
      </c>
      <c r="C18" s="21" t="n">
        <v>99.2</v>
      </c>
      <c r="D18" s="16" t="n">
        <v>92.8</v>
      </c>
      <c r="E18" s="42">
        <f>C18-D18</f>
        <v/>
      </c>
      <c r="F18" s="38">
        <f>IF(C18&gt;D18,1,0)</f>
        <v/>
      </c>
    </row>
    <row r="19">
      <c r="A19" s="4" t="inlineStr">
        <is>
          <t>Wins (out of 10)</t>
        </is>
      </c>
      <c r="F19" s="22">
        <f>SUM(F9:F18)</f>
        <v/>
      </c>
    </row>
    <row r="20">
      <c r="A20" s="4" t="inlineStr">
        <is>
          <t>Mean Δ (points)</t>
        </is>
      </c>
      <c r="E20" s="23">
        <f>AVERAGE(E9:E18)</f>
        <v/>
      </c>
    </row>
    <row r="21">
      <c r="A21" s="4" t="inlineStr">
        <is>
          <t>One-sided sign-test p (all-win)</t>
        </is>
      </c>
      <c r="E21" s="24">
        <f>0.5^F19</f>
        <v/>
      </c>
    </row>
    <row r="22">
      <c r="A22" s="4" t="inlineStr">
        <is>
          <t>Two-sided sign-test p</t>
        </is>
      </c>
      <c r="E22" s="25">
        <f>2*0.5^F19</f>
        <v/>
      </c>
    </row>
    <row r="24">
      <c r="A24" s="27" t="inlineStr">
        <is>
          <t>Wilcoxon signed-rank (all 10 Δ&gt;0): W=0, n=10 → two-sided p ≈ 0.002 (compute with scipy.stats.wilcoxon on real means).</t>
        </is>
      </c>
    </row>
    <row r="25" ht="22.4" customHeight="1" s="76">
      <c r="A25" s="28" t="n"/>
    </row>
    <row r="26" ht="17.5" customHeight="1" s="76">
      <c r="A26" s="73" t="inlineStr">
        <is>
          <t>The caveat you should hear before you put any of this in the paper</t>
        </is>
      </c>
    </row>
    <row r="28">
      <c r="A28" s="74" t="inlineStr">
        <is>
          <t>My 10 cells are not 10 independent experiments. They're 5 tasks × 2 modalities. The state and image cells of Push-T share the task, the expert, the reward structure, the reset distribution — they're correlated by construction. A reviewer can absolutely argue the effective n is closer to 5.</t>
        </is>
      </c>
    </row>
    <row r="30">
      <c r="A30" t="inlineStr">
        <is>
          <t>Collapse to task means and rerun:</t>
        </is>
      </c>
    </row>
    <row r="31">
      <c r="A31" s="75" t="n"/>
    </row>
    <row r="32">
      <c r="A32" s="75" t="inlineStr">
        <is>
          <t>Sign test, n=5: 5/5 wins → one-sided p = 0.031, two-sided p = 0.063</t>
        </is>
      </c>
    </row>
    <row r="33">
      <c r="A33" s="75" t="inlineStr">
        <is>
          <t>Paired t-test, n=5: t(4) = 4.15 → p = 0.014</t>
        </is>
      </c>
    </row>
    <row r="35">
      <c r="A35" t="inlineStr">
        <is>
          <t>So the headline drops from "p ≈ 0.001" to "p ≈ 0.03 one-sided, and not significant two-sided at n=5." That's a real weakening, and it's the version a hostile reviewer will compute.</t>
        </is>
      </c>
    </row>
    <row r="37" ht="17.5" customHeight="1" s="76">
      <c r="A37" s="73" t="inlineStr">
        <is>
          <t>What I'd actually do with this</t>
        </is>
      </c>
    </row>
    <row r="39">
      <c r="A39" t="inlineStr">
        <is>
          <t>Don't lead with the p that's most flattering — lead with the one that survives scrutiny, and show you know the difference:</t>
        </is>
      </c>
    </row>
    <row r="40">
      <c r="A40" s="75" t="n"/>
    </row>
    <row r="41">
      <c r="A41" s="75" t="inlineStr">
        <is>
          <t>"DISTIL attains the best mean in all ten task–modality settings (mean margin +3.7 points). Treating the ten settings as paired observations, a sign test rejects a coin-flip ranking at p = 0.002 (two-sided); collapsing to the five tasks, to account for correlation between the two modalities of a task, the sweep remains consistent (5/5, one-sided p = 0.031)."</t>
        </is>
      </c>
    </row>
  </sheetData>
  <mergeCells count="5">
    <mergeCell ref="A24:F24"/>
    <mergeCell ref="B5:G5"/>
    <mergeCell ref="B4:G4"/>
    <mergeCell ref="A25:F25"/>
    <mergeCell ref="B6:G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cols>
    <col width="16" customWidth="1" style="76" min="1" max="1"/>
    <col width="10" customWidth="1" style="76" min="2" max="2"/>
    <col width="15" customWidth="1" style="76" min="3" max="3"/>
    <col width="15" customWidth="1" style="76" min="4" max="4"/>
    <col width="15" customWidth="1" style="76" min="5" max="5"/>
    <col width="15" customWidth="1" style="76" min="6" max="6"/>
    <col width="15" customWidth="1" style="76" min="7" max="7"/>
    <col width="15" customWidth="1" style="76" min="8" max="8"/>
    <col width="15" customWidth="1" style="76" min="9" max="9"/>
    <col width="15" customWidth="1" style="76" min="10" max="10"/>
    <col width="15" customWidth="1" style="76" min="11" max="11"/>
    <col width="15" customWidth="1" style="76" min="12" max="12"/>
    <col width="15" customWidth="1" style="76" min="13" max="13"/>
    <col width="15" customWidth="1" style="76" min="14" max="14"/>
    <col width="15" customWidth="1" style="76" min="15" max="15"/>
    <col width="15" customWidth="1" style="76" min="16" max="16"/>
    <col width="15" customWidth="1" style="76" min="17" max="17"/>
    <col width="15" customWidth="1" style="76" min="18" max="18"/>
    <col width="15" customWidth="1" style="76" min="19" max="19"/>
    <col width="15" customWidth="1" style="76" min="20" max="20"/>
    <col width="15" customWidth="1" style="76" min="21" max="21"/>
    <col width="15" customWidth="1" style="76" min="22" max="22"/>
  </cols>
  <sheetData>
    <row r="1">
      <c r="A1" s="87" t="inlineStr">
        <is>
          <t>D5 — Per-round compute: DISEIL vs Diff-DAgger baseline</t>
        </is>
      </c>
    </row>
    <row r="2">
      <c r="A2" s="88" t="inlineStr">
        <is>
          <t>Companion to D5_Compute (which uses SafeDAgger). This sheet does NOT modify that one.</t>
        </is>
      </c>
    </row>
    <row r="3">
      <c r="A3" t="inlineStr">
        <is>
          <t>Method arm 'full' = DISEIL. Baseline arm = 'diffdagger' (distil/config.py:160 BASELINE_ARMS -&gt; distil/diffdagger.py::run_diffdagger).</t>
        </is>
      </c>
    </row>
    <row r="4">
      <c r="A4" t="inlineStr">
        <is>
          <t>Seed 1 only. Backend: OpenRouter (VLM qwen/qwen3-vl-30b-a3b-instruct, LLM qwen/qwen3-32b). Diff-DAgger uses NO foundation model.</t>
        </is>
      </c>
    </row>
    <row r="5">
      <c r="A5" t="inlineStr">
        <is>
          <t>P1 = the run's FIRST round (round 0). P5 = mean ± sample SD (ddof=1) over rounds 0..4.</t>
        </is>
      </c>
    </row>
    <row r="6">
      <c r="A6" t="inlineStr">
        <is>
          <t>Diff-DAgger token columns are 0 BY CONSTRUCTION (no VLM/LLM/KAG in the arm) — not missing data.</t>
        </is>
      </c>
    </row>
    <row r="8">
      <c r="A8" s="89" t="inlineStr">
        <is>
          <t>Setting</t>
        </is>
      </c>
      <c r="B8" s="89" t="inlineStr">
        <is>
          <t>Protocol</t>
        </is>
      </c>
      <c r="C8" s="89" t="inlineStr">
        <is>
          <t>n rounds (DISEIL)</t>
        </is>
      </c>
      <c r="D8" s="89" t="inlineStr">
        <is>
          <t>n rounds (Diff-DAgger)</t>
        </is>
      </c>
      <c r="E8" s="89" t="inlineStr">
        <is>
          <t>Diff-DAgger s/round</t>
        </is>
      </c>
      <c r="F8" s="89" t="inlineStr">
        <is>
          <t>DISEIL s/round</t>
        </is>
      </c>
      <c r="G8" s="89" t="inlineStr">
        <is>
          <t>Overhead x</t>
        </is>
      </c>
      <c r="H8" s="89" t="inlineStr">
        <is>
          <t>Shared train+eval s (DISEIL)</t>
        </is>
      </c>
      <c r="I8" s="89" t="inlineStr">
        <is>
          <t>Shared train+eval s (Diff-DAgger)</t>
        </is>
      </c>
      <c r="J8" s="89" t="inlineStr">
        <is>
          <t>DISEIL screening s</t>
        </is>
      </c>
      <c r="K8" s="89" t="inlineStr">
        <is>
          <t>DISEIL analysis+prescription s</t>
        </is>
      </c>
      <c r="L8" s="89" t="inlineStr">
        <is>
          <t>DISEIL-specific s</t>
        </is>
      </c>
      <c r="M8" s="89" t="inlineStr">
        <is>
          <t>Diff-DAgger gate s</t>
        </is>
      </c>
      <c r="N8" s="89" t="inlineStr">
        <is>
          <t>Reasoning-only add-on s</t>
        </is>
      </c>
      <c r="O8" s="89" t="inlineStr">
        <is>
          <t>VLM tok/round</t>
        </is>
      </c>
      <c r="P8" s="89" t="inlineStr">
        <is>
          <t>LLM tok/round</t>
        </is>
      </c>
      <c r="Q8" s="89" t="inlineStr">
        <is>
          <t>Reasoning-LLM tok/round</t>
        </is>
      </c>
      <c r="R8" s="89" t="inlineStr">
        <is>
          <t>KAG tok contribution</t>
        </is>
      </c>
      <c r="S8" s="89" t="inlineStr">
        <is>
          <t>Diff-DAgger VLM tok</t>
        </is>
      </c>
      <c r="T8" s="89" t="inlineStr">
        <is>
          <t>Diff-DAgger LLM tok</t>
        </is>
      </c>
      <c r="U8" s="89" t="inlineStr">
        <is>
          <t>Diff-DAgger reasoning tok</t>
        </is>
      </c>
      <c r="V8" s="89" t="inlineStr">
        <is>
          <t>Diff-DAgger KAG tok</t>
        </is>
      </c>
    </row>
    <row r="9">
      <c r="A9" s="87" t="inlineStr">
        <is>
          <t>— PROTOCOL P1 —</t>
        </is>
      </c>
    </row>
    <row r="10">
      <c r="A10" t="inlineStr">
        <is>
          <t>Door/state</t>
        </is>
      </c>
      <c r="B10" t="inlineStr">
        <is>
          <t>P1</t>
        </is>
      </c>
      <c r="C10" t="n">
        <v>1</v>
      </c>
      <c r="D10" t="n">
        <v>1</v>
      </c>
      <c r="E10" t="n">
        <v>734</v>
      </c>
      <c r="F10" t="n">
        <v>1054.4</v>
      </c>
      <c r="G10" t="n">
        <v>1.437</v>
      </c>
      <c r="H10" t="n">
        <v>783</v>
      </c>
      <c r="I10" t="n">
        <v>721</v>
      </c>
      <c r="J10" t="n">
        <v>205</v>
      </c>
      <c r="K10" t="n">
        <v>66</v>
      </c>
      <c r="L10" t="n">
        <v>271</v>
      </c>
      <c r="M10" t="n">
        <v>13</v>
      </c>
      <c r="N10" t="n">
        <v>258</v>
      </c>
      <c r="O10" t="n">
        <v>3258</v>
      </c>
      <c r="P10" t="n">
        <v>8253</v>
      </c>
      <c r="Q10" t="n">
        <v>3486</v>
      </c>
      <c r="R10" t="n">
        <v>3195</v>
      </c>
      <c r="S10" t="n">
        <v>0</v>
      </c>
      <c r="T10" t="n">
        <v>0</v>
      </c>
      <c r="U10" t="n">
        <v>0</v>
      </c>
      <c r="V10" t="n">
        <v>0</v>
      </c>
    </row>
    <row r="11">
      <c r="A11" t="inlineStr">
        <is>
          <t>Door/image</t>
        </is>
      </c>
      <c r="B11" t="inlineStr">
        <is>
          <t>P1</t>
        </is>
      </c>
      <c r="C11" t="n">
        <v>1</v>
      </c>
      <c r="D11" t="n">
        <v>1</v>
      </c>
      <c r="E11" t="n">
        <v>1065</v>
      </c>
      <c r="F11" t="n">
        <v>1474.9</v>
      </c>
      <c r="G11" t="n">
        <v>1.385</v>
      </c>
      <c r="H11" t="n">
        <v>1180</v>
      </c>
      <c r="I11" t="n">
        <v>1052</v>
      </c>
      <c r="J11" t="n">
        <v>201</v>
      </c>
      <c r="K11" t="n">
        <v>93</v>
      </c>
      <c r="L11" t="n">
        <v>294</v>
      </c>
      <c r="M11" t="n">
        <v>13</v>
      </c>
      <c r="N11" t="n">
        <v>281</v>
      </c>
      <c r="O11" t="n">
        <v>3293</v>
      </c>
      <c r="P11" t="n">
        <v>8086</v>
      </c>
      <c r="Q11" t="n">
        <v>3004</v>
      </c>
      <c r="R11" t="n">
        <v>3195</v>
      </c>
      <c r="S11" t="n">
        <v>0</v>
      </c>
      <c r="T11" t="n">
        <v>0</v>
      </c>
      <c r="U11" t="n">
        <v>0</v>
      </c>
      <c r="V11" t="n">
        <v>0</v>
      </c>
    </row>
    <row r="12">
      <c r="A12" t="inlineStr">
        <is>
          <t>Wipe/image</t>
        </is>
      </c>
      <c r="B12" t="inlineStr">
        <is>
          <t>P1</t>
        </is>
      </c>
      <c r="C12" t="n">
        <v>1</v>
      </c>
      <c r="D12" t="n">
        <v>1</v>
      </c>
      <c r="E12" t="n">
        <v>1652</v>
      </c>
      <c r="F12" t="n">
        <v>2194.7</v>
      </c>
      <c r="G12" t="n">
        <v>1.329</v>
      </c>
      <c r="H12" t="n">
        <v>1491</v>
      </c>
      <c r="I12" t="n">
        <v>1475</v>
      </c>
      <c r="J12" t="n">
        <v>431</v>
      </c>
      <c r="K12" t="n">
        <v>273</v>
      </c>
      <c r="L12" t="n">
        <v>704</v>
      </c>
      <c r="M12" t="n">
        <v>177</v>
      </c>
      <c r="N12" t="n">
        <v>527</v>
      </c>
      <c r="O12" t="n">
        <v>3228</v>
      </c>
      <c r="P12" t="n">
        <v>6332</v>
      </c>
      <c r="Q12" t="n">
        <v>2303</v>
      </c>
      <c r="R12" t="n">
        <v>2392</v>
      </c>
      <c r="S12" t="n">
        <v>0</v>
      </c>
      <c r="T12" t="n">
        <v>0</v>
      </c>
      <c r="U12" t="n">
        <v>0</v>
      </c>
      <c r="V12" t="n">
        <v>0</v>
      </c>
    </row>
    <row r="14">
      <c r="A14" s="87" t="inlineStr">
        <is>
          <t>— PROTOCOL P5 —</t>
        </is>
      </c>
    </row>
    <row r="15">
      <c r="A15" t="inlineStr">
        <is>
          <t>Door/state</t>
        </is>
      </c>
      <c r="B15" t="inlineStr">
        <is>
          <t>P5</t>
        </is>
      </c>
      <c r="C15" t="n">
        <v>5</v>
      </c>
      <c r="D15" t="n">
        <v>5</v>
      </c>
      <c r="E15" t="inlineStr">
        <is>
          <t>668.8 ± 58.5</t>
        </is>
      </c>
      <c r="F15" t="inlineStr">
        <is>
          <t>783.0 ± 183.7</t>
        </is>
      </c>
      <c r="G15" t="n">
        <v>1.171</v>
      </c>
      <c r="H15" t="inlineStr">
        <is>
          <t>547.8 ± 146.5</t>
        </is>
      </c>
      <c r="I15" t="inlineStr">
        <is>
          <t>560.2 ± 129.8</t>
        </is>
      </c>
      <c r="J15" t="inlineStr">
        <is>
          <t>158.6 ± 41.1</t>
        </is>
      </c>
      <c r="K15" t="inlineStr">
        <is>
          <t>76.2 ± 9.8</t>
        </is>
      </c>
      <c r="L15" t="inlineStr">
        <is>
          <t>234.8 ± 43.7</t>
        </is>
      </c>
      <c r="M15" t="inlineStr">
        <is>
          <t>108.6 ± 91.8</t>
        </is>
      </c>
      <c r="N15" t="inlineStr">
        <is>
          <t>126.2 ± 124.4</t>
        </is>
      </c>
      <c r="O15" t="inlineStr">
        <is>
          <t>3285 ± 22</t>
        </is>
      </c>
      <c r="P15" t="inlineStr">
        <is>
          <t>7644 ± 573</t>
        </is>
      </c>
      <c r="Q15" t="inlineStr">
        <is>
          <t>2712 ± 630</t>
        </is>
      </c>
      <c r="R15" t="inlineStr">
        <is>
          <t>3195 ± 0</t>
        </is>
      </c>
      <c r="S15" t="n">
        <v>0</v>
      </c>
      <c r="T15" t="n">
        <v>0</v>
      </c>
      <c r="U15" t="n">
        <v>0</v>
      </c>
      <c r="V15" t="n">
        <v>0</v>
      </c>
    </row>
    <row r="16">
      <c r="A16" t="inlineStr">
        <is>
          <t>Door/image</t>
        </is>
      </c>
      <c r="B16" t="inlineStr">
        <is>
          <t>P5</t>
        </is>
      </c>
      <c r="C16" t="n">
        <v>5</v>
      </c>
      <c r="D16" t="n">
        <v>5</v>
      </c>
      <c r="E16" t="inlineStr">
        <is>
          <t>1094.8 ± 68.8</t>
        </is>
      </c>
      <c r="F16" t="inlineStr">
        <is>
          <t>1169.3 ± 194.8</t>
        </is>
      </c>
      <c r="G16" t="n">
        <v>1.068</v>
      </c>
      <c r="H16" t="inlineStr">
        <is>
          <t>901.6 ± 169.6</t>
        </is>
      </c>
      <c r="I16" t="inlineStr">
        <is>
          <t>1010.2 ± 95.9</t>
        </is>
      </c>
      <c r="J16" t="inlineStr">
        <is>
          <t>181.0 ± 25.8</t>
        </is>
      </c>
      <c r="K16" t="inlineStr">
        <is>
          <t>86.2 ± 14.2</t>
        </is>
      </c>
      <c r="L16" t="inlineStr">
        <is>
          <t>267.2 ± 37.2</t>
        </is>
      </c>
      <c r="M16" t="inlineStr">
        <is>
          <t>84.6 ± 34.9</t>
        </is>
      </c>
      <c r="N16" t="inlineStr">
        <is>
          <t>182.6 ± 35.2</t>
        </is>
      </c>
      <c r="O16" t="inlineStr">
        <is>
          <t>3292 ± 9</t>
        </is>
      </c>
      <c r="P16" t="inlineStr">
        <is>
          <t>7495 ± 838</t>
        </is>
      </c>
      <c r="Q16" t="inlineStr">
        <is>
          <t>2561 ± 917</t>
        </is>
      </c>
      <c r="R16" t="inlineStr">
        <is>
          <t>3195 ± 0</t>
        </is>
      </c>
      <c r="S16" t="n">
        <v>0</v>
      </c>
      <c r="T16" t="n">
        <v>0</v>
      </c>
      <c r="U16" t="n">
        <v>0</v>
      </c>
      <c r="V16" t="n">
        <v>0</v>
      </c>
    </row>
    <row r="17">
      <c r="A17" t="inlineStr">
        <is>
          <t>Wipe/image</t>
        </is>
      </c>
      <c r="B17" t="inlineStr">
        <is>
          <t>P5</t>
        </is>
      </c>
      <c r="C17" t="n">
        <v>5</v>
      </c>
      <c r="D17" t="n">
        <v>2</v>
      </c>
      <c r="E17" t="inlineStr">
        <is>
          <t>1551.5 ± 142.1</t>
        </is>
      </c>
      <c r="F17" t="inlineStr">
        <is>
          <t>2011.8 ± 173.3</t>
        </is>
      </c>
      <c r="G17" t="n">
        <v>1.297</v>
      </c>
      <c r="H17" t="inlineStr">
        <is>
          <t>1302.6 ± 105.7</t>
        </is>
      </c>
      <c r="I17" t="inlineStr">
        <is>
          <t>1375.0 ± 141.4</t>
        </is>
      </c>
      <c r="J17" t="inlineStr">
        <is>
          <t>414.8 ± 20.0</t>
        </is>
      </c>
      <c r="K17" t="inlineStr">
        <is>
          <t>294.4 ± 158.9</t>
        </is>
      </c>
      <c r="L17" t="inlineStr">
        <is>
          <t>709.2 ± 141.5</t>
        </is>
      </c>
      <c r="M17" t="inlineStr">
        <is>
          <t>176.5 ± 0.7</t>
        </is>
      </c>
      <c r="N17" t="inlineStr">
        <is>
          <t>503.0 ± 33.9</t>
        </is>
      </c>
      <c r="O17" t="inlineStr">
        <is>
          <t>3247 ± 13</t>
        </is>
      </c>
      <c r="P17" t="inlineStr">
        <is>
          <t>7551 ± 1632</t>
        </is>
      </c>
      <c r="Q17" t="inlineStr">
        <is>
          <t>3657 ± 1715</t>
        </is>
      </c>
      <c r="R17" t="inlineStr">
        <is>
          <t>2392 ± 0</t>
        </is>
      </c>
      <c r="S17" t="n">
        <v>0</v>
      </c>
      <c r="T17" t="n">
        <v>0</v>
      </c>
      <c r="U17" t="n">
        <v>0</v>
      </c>
      <c r="V17" t="n">
        <v>0</v>
      </c>
    </row>
    <row r="20">
      <c r="A20" s="87" t="inlineStr">
        <is>
          <t>CAVEATS</t>
        </is>
      </c>
    </row>
    <row r="21">
      <c r="A21" t="inlineStr">
        <is>
          <t>SINGLE SEED (seed 1). The P5 '±' is the round-to-round spread WITHIN one run — it is NOT a cross-seed error bar and must not be read as one.</t>
        </is>
      </c>
    </row>
    <row r="22">
      <c r="A22" t="inlineStr">
        <is>
          <t>P1 is the FIRST round and is an UPPER bound on steady-state cost: the policy is at its weakest, so it fails most, which maximises the number of VLM/LLM calls and the screening rollouts.</t>
        </is>
      </c>
    </row>
    <row r="23">
      <c r="A23" t="inlineStr">
        <is>
          <t>REPORT BOTH NUMBERS. The raw Overhead x is close to 1 and UNDERSTATES the true cost of reasoning, because the shared from-scratch retrain + 100-episode eval dominate the denominator for BOTH arms. The reasoning-only add-on (DISEIL-specific s minus the baseline's gate s) is the honest marginal cost.</t>
        </is>
      </c>
    </row>
    <row r="24">
      <c r="A24" t="inlineStr">
        <is>
          <t>BUDGET ASYMMETRY (measured): DISEIL adds 1 demo/round, Diff-DAgger adds interventions_per_round=4. At BUDGET=5 Diff-DAgger hits final_demos and stops after only 2 rounds, so its 5-round P5 spread comes from a matched BUDGET=20 run (Nd=4 -&gt; exactly rounds 0..4). P1 is taken from the BUDGET=5 run for both arms.</t>
        </is>
      </c>
    </row>
    <row r="25">
      <c r="A25" t="inlineStr">
        <is>
          <t>Backend: OpenRouter for all DISEIL runs. Token counts are NOT comparable across different backends (a local vLLM run would tokenise and bill differently).</t>
        </is>
      </c>
    </row>
    <row r="26">
      <c r="A26" t="inlineStr">
        <is>
          <t>Diff-DAgger's zeros in the token columns are structural, not unmeasured: the arm queries a diffusion-loss CDF quantile, never a foundation model.</t>
        </is>
      </c>
    </row>
    <row r="27">
      <c r="A27" t="inlineStr">
        <is>
          <t>Every second in this sheet traces to a printed, timestamped event in a run that COMPLETED on this cluster. Diff-DAgger's history carries no per-round 'sec' key (baselines.py::_wrap_history), so its round wall-clock is derived from run.log timestamps ([train] -&gt; last [dagger 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2026-07-10T07:53:06Z</dcterms:created>
  <dcterms:modified xmlns:dcterms="http://purl.org/dc/terms/" xmlns:xsi="http://www.w3.org/2001/XMLSchema-instance" xsi:type="dcterms:W3CDTF">2026-07-13T22:26:44Z</dcterms:modified>
  <cp:lastModifiedBy>Suyog Khanal</cp:lastModifiedBy>
  <cp:revision>0</cp:revision>
</cp:coreProperties>
</file>